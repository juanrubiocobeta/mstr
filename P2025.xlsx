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-aba\OneDrive\Escritorio\Personal\Daniel\"/>
    </mc:Choice>
  </mc:AlternateContent>
  <xr:revisionPtr revIDLastSave="0" documentId="13_ncr:1_{CC85817F-C4CB-4A86-8FE8-0DE972B11D52}" xr6:coauthVersionLast="47" xr6:coauthVersionMax="47" xr10:uidLastSave="{00000000-0000-0000-0000-000000000000}"/>
  <bookViews>
    <workbookView xWindow="-108" yWindow="-108" windowWidth="23256" windowHeight="12456" xr2:uid="{E6BE3D35-2AFD-4B9B-8A04-F35A743BE329}"/>
  </bookViews>
  <sheets>
    <sheet name="IG+Bal" sheetId="1" r:id="rId1"/>
    <sheet name="Gastos" sheetId="4" r:id="rId2"/>
  </sheets>
  <definedNames>
    <definedName name="_xlnm._FilterDatabase" localSheetId="0" hidden="1">'IG+Bal'!$R$3:$S$9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6" i="1"/>
  <c r="M14" i="1"/>
  <c r="M15" i="1"/>
  <c r="M13" i="1"/>
  <c r="K26" i="4"/>
  <c r="K25" i="4"/>
  <c r="K24" i="4"/>
  <c r="K17" i="4"/>
  <c r="K16" i="4"/>
  <c r="K15" i="4"/>
  <c r="Y2" i="4"/>
  <c r="Y4" i="4"/>
  <c r="Y3" i="4"/>
  <c r="Y5" i="4"/>
  <c r="Y6" i="4"/>
  <c r="L14" i="1"/>
  <c r="L13" i="1"/>
  <c r="L15" i="1" s="1"/>
  <c r="L6" i="1"/>
  <c r="L7" i="1"/>
  <c r="J26" i="4"/>
  <c r="J25" i="4"/>
  <c r="J24" i="4"/>
  <c r="J16" i="4"/>
  <c r="J17" i="4" s="1"/>
  <c r="J15" i="4"/>
  <c r="W3" i="4"/>
  <c r="W2" i="4"/>
  <c r="W4" i="4"/>
  <c r="K14" i="1"/>
  <c r="K15" i="1" s="1"/>
  <c r="K13" i="1"/>
  <c r="K6" i="1"/>
  <c r="K7" i="1" s="1"/>
  <c r="I25" i="4"/>
  <c r="I24" i="4"/>
  <c r="I17" i="4"/>
  <c r="I16" i="4"/>
  <c r="I15" i="4"/>
  <c r="U4" i="4"/>
  <c r="U3" i="4"/>
  <c r="U2" i="4"/>
  <c r="J6" i="1"/>
  <c r="J14" i="1"/>
  <c r="J13" i="1"/>
  <c r="J15" i="1" s="1"/>
  <c r="G26" i="4"/>
  <c r="H26" i="4"/>
  <c r="H25" i="4"/>
  <c r="H24" i="4"/>
  <c r="G17" i="4"/>
  <c r="I13" i="1" s="1"/>
  <c r="H17" i="4"/>
  <c r="H16" i="4"/>
  <c r="H15" i="4"/>
  <c r="S2" i="4"/>
  <c r="S3" i="4"/>
  <c r="S4" i="4"/>
  <c r="S5" i="4"/>
  <c r="I14" i="1"/>
  <c r="I6" i="1"/>
  <c r="I7" i="1" s="1"/>
  <c r="G25" i="4"/>
  <c r="G24" i="4"/>
  <c r="G16" i="4"/>
  <c r="G15" i="4"/>
  <c r="Q4" i="4"/>
  <c r="Q3" i="4"/>
  <c r="Q2" i="4"/>
  <c r="I5" i="1"/>
  <c r="H14" i="1"/>
  <c r="H13" i="1"/>
  <c r="H6" i="1"/>
  <c r="H5" i="1"/>
  <c r="H7" i="1" s="1"/>
  <c r="F26" i="4"/>
  <c r="F17" i="4"/>
  <c r="F25" i="4"/>
  <c r="F24" i="4"/>
  <c r="F16" i="4"/>
  <c r="F15" i="4"/>
  <c r="O4" i="4"/>
  <c r="O2" i="4"/>
  <c r="O5" i="4"/>
  <c r="O3" i="4"/>
  <c r="M2" i="4"/>
  <c r="E25" i="4"/>
  <c r="F14" i="1"/>
  <c r="F13" i="1"/>
  <c r="G6" i="1"/>
  <c r="G7" i="1" s="1"/>
  <c r="G5" i="1"/>
  <c r="E24" i="4"/>
  <c r="E16" i="4"/>
  <c r="E15" i="4"/>
  <c r="M3" i="4"/>
  <c r="M4" i="4"/>
  <c r="M5" i="4"/>
  <c r="D25" i="4"/>
  <c r="D24" i="4"/>
  <c r="D16" i="4"/>
  <c r="D15" i="4"/>
  <c r="K7" i="4"/>
  <c r="K5" i="4"/>
  <c r="K3" i="4"/>
  <c r="K6" i="4"/>
  <c r="K4" i="4"/>
  <c r="K2" i="4"/>
  <c r="F6" i="1"/>
  <c r="F7" i="1" s="1"/>
  <c r="E6" i="1"/>
  <c r="F5" i="1"/>
  <c r="Q5" i="1"/>
  <c r="Q6" i="1"/>
  <c r="Q7" i="1"/>
  <c r="Q8" i="1"/>
  <c r="Q9" i="1"/>
  <c r="Q4" i="1"/>
  <c r="C14" i="1" s="1"/>
  <c r="D15" i="1"/>
  <c r="E15" i="1"/>
  <c r="D7" i="1"/>
  <c r="D26" i="4"/>
  <c r="C26" i="4"/>
  <c r="B26" i="4"/>
  <c r="C17" i="4"/>
  <c r="B17" i="4"/>
  <c r="E5" i="1"/>
  <c r="E7" i="1" s="1"/>
  <c r="H15" i="1" l="1"/>
  <c r="J7" i="1"/>
  <c r="I26" i="4"/>
  <c r="I15" i="1"/>
  <c r="E26" i="4"/>
  <c r="G14" i="1" s="1"/>
  <c r="D17" i="4"/>
  <c r="E17" i="4"/>
  <c r="C5" i="1"/>
  <c r="C7" i="1"/>
  <c r="C6" i="1"/>
  <c r="C13" i="1"/>
  <c r="C15" i="1"/>
  <c r="F15" i="1" l="1"/>
  <c r="G13" i="1"/>
  <c r="G1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F7340D-5924-4719-9906-D68AC47BA29F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<sst xmlns="http://schemas.openxmlformats.org/spreadsheetml/2006/main" count="125" uniqueCount="50">
  <si>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</si>
  <si>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</si>
  <si>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</si>
  <si>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</si>
  <si>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</si>
  <si>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</si>
  <si>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</si>
  <si>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</si>
  <si>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</si>
  <si>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</si>
  <si>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</si>
  <si>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</si>
  <si>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In.F</t>
  </si>
  <si>
    <t>Ingreso por trabajo</t>
  </si>
  <si>
    <t>Ingreso familiar</t>
  </si>
  <si>
    <t>TIPO</t>
  </si>
  <si>
    <t>NOMBRE</t>
  </si>
  <si>
    <t>In.TOT</t>
  </si>
  <si>
    <t>Ingreso total</t>
  </si>
  <si>
    <t>I</t>
  </si>
  <si>
    <t>G</t>
  </si>
  <si>
    <t>Gasto variable</t>
  </si>
  <si>
    <t>Gasto fijo</t>
  </si>
  <si>
    <t>Gasolina</t>
  </si>
  <si>
    <t>Comidas/cenas</t>
  </si>
  <si>
    <t>TOTAL</t>
  </si>
  <si>
    <t>Viajes</t>
  </si>
  <si>
    <t>Resto</t>
  </si>
  <si>
    <r>
      <t xml:space="preserve">Registro de Gastos </t>
    </r>
    <r>
      <rPr>
        <b/>
        <sz val="11"/>
        <color rgb="FFFF0000"/>
        <rFont val="Aptos Narrow"/>
        <family val="2"/>
        <scheme val="minor"/>
      </rPr>
      <t>FIJOS</t>
    </r>
    <r>
      <rPr>
        <b/>
        <sz val="11"/>
        <color theme="2"/>
        <rFont val="Aptos Narrow"/>
        <family val="2"/>
        <scheme val="minor"/>
      </rPr>
      <t xml:space="preserve"> en €</t>
    </r>
  </si>
  <si>
    <r>
      <t xml:space="preserve">Registro de Gastos </t>
    </r>
    <r>
      <rPr>
        <b/>
        <sz val="11"/>
        <color rgb="FFFF0000"/>
        <rFont val="Aptos Narrow"/>
        <family val="2"/>
        <scheme val="minor"/>
      </rPr>
      <t>VAR</t>
    </r>
    <r>
      <rPr>
        <b/>
        <sz val="11"/>
        <color theme="2"/>
        <rFont val="Aptos Narrow"/>
        <family val="2"/>
        <scheme val="minor"/>
      </rPr>
      <t xml:space="preserve"> en €</t>
    </r>
  </si>
  <si>
    <t>Gasto total</t>
  </si>
  <si>
    <t>G.TOT</t>
  </si>
  <si>
    <t>G.F</t>
  </si>
  <si>
    <t>G.Var</t>
  </si>
  <si>
    <t>In.Tr</t>
  </si>
  <si>
    <t>01-Comidas/Cenas</t>
  </si>
  <si>
    <t>00-Fiesta</t>
  </si>
  <si>
    <t>02-Multas</t>
  </si>
  <si>
    <t>03-Gasolina YO</t>
  </si>
  <si>
    <t>GASTOS MARZO 2025</t>
  </si>
  <si>
    <t>04-Viajes</t>
  </si>
  <si>
    <t>05-Lujos</t>
  </si>
  <si>
    <t>GASTOS ABRIL 2025</t>
  </si>
  <si>
    <t>GASTOS MAYO 2025</t>
  </si>
  <si>
    <t>GASTOS JUNIO 2025</t>
  </si>
  <si>
    <t>GASTOS JULIO</t>
  </si>
  <si>
    <t>GASTOS AGOSTO</t>
  </si>
  <si>
    <t>GASTOS SEPTIEMBRE</t>
  </si>
  <si>
    <t>GASTOS OCTUBRE</t>
  </si>
  <si>
    <t>GASTOS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</si>
</sst>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C0A]_-;\-* #,##0.00\ [$€-C0A]_-;_-* &quot;-&quot;??\ [$€-C0A]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26"/>
      <color theme="1"/>
      <name val="Amasis MT Pro Medium"/>
      <family val="1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5" xfId="0" applyBorder="1"/>
    <xf numFmtId="0" fontId="0" fillId="0" borderId="1" xfId="0" applyBorder="1"/>
    <xf numFmtId="165" fontId="0" fillId="0" borderId="1" xfId="0" applyNumberFormat="1" applyBorder="1"/>
    <xf numFmtId="0" fontId="0" fillId="0" borderId="6" xfId="0" applyBorder="1"/>
    <xf numFmtId="165" fontId="0" fillId="0" borderId="7" xfId="0" applyNumberFormat="1" applyBorder="1"/>
    <xf numFmtId="0" fontId="0" fillId="0" borderId="7" xfId="0" applyBorder="1"/>
    <xf numFmtId="0" fontId="0" fillId="0" borderId="8" xfId="0" applyBorder="1"/>
    <xf numFmtId="165" fontId="0" fillId="0" borderId="9" xfId="0" applyNumberFormat="1" applyBorder="1"/>
    <xf numFmtId="0" fontId="0" fillId="0" borderId="9" xfId="0" applyBorder="1"/>
    <xf numFmtId="0" fontId="0" fillId="0" borderId="10" xfId="0" applyBorder="1"/>
    <xf numFmtId="16" fontId="0" fillId="0" borderId="7" xfId="0" applyNumberFormat="1" applyBorder="1"/>
    <xf numFmtId="0" fontId="1" fillId="5" borderId="13" xfId="0" applyFont="1" applyFill="1" applyBorder="1"/>
    <xf numFmtId="0" fontId="1" fillId="5" borderId="11" xfId="0" applyFont="1" applyFill="1" applyBorder="1"/>
    <xf numFmtId="0" fontId="1" fillId="3" borderId="11" xfId="0" applyFont="1" applyFill="1" applyBorder="1"/>
    <xf numFmtId="0" fontId="2" fillId="7" borderId="11" xfId="0" applyFont="1" applyFill="1" applyBorder="1"/>
    <xf numFmtId="0" fontId="2" fillId="6" borderId="11" xfId="0" applyFont="1" applyFill="1" applyBorder="1"/>
    <xf numFmtId="0" fontId="2" fillId="6" borderId="12" xfId="0" applyFont="1" applyFill="1" applyBorder="1"/>
    <xf numFmtId="0" fontId="2" fillId="6" borderId="0" xfId="0" applyFont="1" applyFill="1"/>
    <xf numFmtId="0" fontId="0" fillId="4" borderId="0" xfId="0" applyFill="1"/>
    <xf numFmtId="0" fontId="0" fillId="10" borderId="1" xfId="0" applyFill="1" applyBorder="1"/>
    <xf numFmtId="165" fontId="0" fillId="10" borderId="7" xfId="0" applyNumberFormat="1" applyFill="1" applyBorder="1"/>
    <xf numFmtId="165" fontId="0" fillId="0" borderId="8" xfId="0" applyNumberFormat="1" applyBorder="1"/>
    <xf numFmtId="0" fontId="0" fillId="0" borderId="18" xfId="0" applyBorder="1"/>
    <xf numFmtId="165" fontId="0" fillId="0" borderId="19" xfId="0" applyNumberFormat="1" applyBorder="1"/>
    <xf numFmtId="0" fontId="0" fillId="0" borderId="14" xfId="0" applyBorder="1"/>
    <xf numFmtId="0" fontId="0" fillId="0" borderId="17" xfId="0" applyBorder="1"/>
    <xf numFmtId="165" fontId="0" fillId="0" borderId="9" xfId="1" applyNumberFormat="1" applyFont="1" applyBorder="1"/>
    <xf numFmtId="0" fontId="0" fillId="0" borderId="5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10" borderId="0" xfId="0" applyFont="1" applyFill="1"/>
    <xf numFmtId="44" fontId="0" fillId="0" borderId="0" xfId="1" applyFont="1"/>
    <xf numFmtId="44" fontId="0" fillId="0" borderId="0" xfId="0" applyNumberFormat="1"/>
    <xf numFmtId="0" fontId="0" fillId="0" borderId="2" xfId="0" applyBorder="1"/>
    <xf numFmtId="165" fontId="0" fillId="0" borderId="11" xfId="1" applyNumberFormat="1" applyFont="1" applyBorder="1"/>
    <xf numFmtId="0" fontId="0" fillId="0" borderId="12" xfId="0" applyBorder="1"/>
    <xf numFmtId="0" fontId="0" fillId="0" borderId="20" xfId="0" applyBorder="1"/>
    <xf numFmtId="165" fontId="0" fillId="0" borderId="21" xfId="0" applyNumberFormat="1" applyBorder="1"/>
    <xf numFmtId="0" fontId="0" fillId="10" borderId="11" xfId="0" applyFill="1" applyBorder="1"/>
    <xf numFmtId="0" fontId="1" fillId="10" borderId="0" xfId="0" applyFont="1" applyFill="1" applyAlignment="1">
      <alignment horizontal="center"/>
    </xf>
    <xf numFmtId="16" fontId="0" fillId="11" borderId="7" xfId="0" applyNumberFormat="1" applyFill="1" applyBorder="1" applyAlignment="1">
      <alignment horizontal="center" vertical="center"/>
    </xf>
    <xf numFmtId="0" fontId="0" fillId="11" borderId="7" xfId="0" applyFill="1" applyBorder="1"/>
    <xf numFmtId="44" fontId="0" fillId="12" borderId="0" xfId="1" applyFont="1" applyFill="1"/>
    <xf numFmtId="44" fontId="0" fillId="0" borderId="9" xfId="0" applyNumberFormat="1" applyBorder="1" applyAlignment="1">
      <alignment horizontal="right"/>
    </xf>
    <xf numFmtId="165" fontId="0" fillId="0" borderId="0" xfId="0" applyNumberFormat="1"/>
    <xf numFmtId="0" fontId="0" fillId="10" borderId="0" xfId="0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GF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'IG+Bal'!$F$11:$O$11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'IG+Bal'!$F$13:$M$13</c:f>
              <c:numCache>
                <c:formatCode>_-* #,##0.00\ [$€-C0A]_-;\-* #,##0.00\ [$€-C0A]_-;_-* "-"??\ [$€-C0A]_-;_-@_-</c:formatCode>
                <c:ptCount val="8"/>
                <c:pt idx="0">
                  <c:v>166.36</c:v>
                </c:pt>
                <c:pt idx="1">
                  <c:v>278.31</c:v>
                </c:pt>
                <c:pt idx="2">
                  <c:v>229.27</c:v>
                </c:pt>
                <c:pt idx="3" formatCode="_(&quot;€&quot;* #,##0.00_);_(&quot;€&quot;* \(#,##0.00\);_(&quot;€&quot;* &quot;-&quot;??_);_(@_)">
                  <c:v>276.05</c:v>
                </c:pt>
                <c:pt idx="4" formatCode="_(&quot;€&quot;* #,##0.00_);_(&quot;€&quot;* \(#,##0.00\);_(&quot;€&quot;* &quot;-&quot;??_);_(@_)">
                  <c:v>410.53999999999996</c:v>
                </c:pt>
                <c:pt idx="5" formatCode="_(&quot;€&quot;* #,##0.00_);_(&quot;€&quot;* \(#,##0.00\);_(&quot;€&quot;* &quot;-&quot;??_);_(@_)">
                  <c:v>100.2</c:v>
                </c:pt>
                <c:pt idx="6" formatCode="_(&quot;€&quot;* #,##0.00_);_(&quot;€&quot;* \(#,##0.00\);_(&quot;€&quot;* &quot;-&quot;??_);_(@_)">
                  <c:v>178.4</c:v>
                </c:pt>
                <c:pt idx="7" formatCode="_(&quot;€&quot;* #,##0.00_);_(&quot;€&quot;* \(#,##0.00\);_(&quot;€&quot;* &quot;-&quot;??_);_(@_)">
                  <c:v>362.14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57-46E3-97FA-490075D72054}"/>
            </c:ext>
          </c:extLst>
        </c:ser>
        <c:ser>
          <c:idx val="1"/>
          <c:order val="1"/>
          <c:tx>
            <c:v>GVAR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'IG+Bal'!$F$11:$O$11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'IG+Bal'!$F$14:$M$14</c:f>
              <c:numCache>
                <c:formatCode>_-* #,##0.00\ [$€-C0A]_-;\-* #,##0.00\ [$€-C0A]_-;_-* "-"??\ [$€-C0A]_-;_-@_-</c:formatCode>
                <c:ptCount val="8"/>
                <c:pt idx="0">
                  <c:v>253.64</c:v>
                </c:pt>
                <c:pt idx="1">
                  <c:v>308.46000000000004</c:v>
                </c:pt>
                <c:pt idx="2">
                  <c:v>751.5</c:v>
                </c:pt>
                <c:pt idx="3">
                  <c:v>839.28</c:v>
                </c:pt>
                <c:pt idx="4">
                  <c:v>714.67000000000007</c:v>
                </c:pt>
                <c:pt idx="5" formatCode="_(&quot;€&quot;* #,##0.00_);_(&quot;€&quot;* \(#,##0.00\);_(&quot;€&quot;* &quot;-&quot;??_);_(@_)">
                  <c:v>795.4</c:v>
                </c:pt>
                <c:pt idx="6" formatCode="_(&quot;€&quot;* #,##0.00_);_(&quot;€&quot;* \(#,##0.00\);_(&quot;€&quot;* &quot;-&quot;??_);_(@_)">
                  <c:v>474.14</c:v>
                </c:pt>
                <c:pt idx="7" formatCode="_(&quot;€&quot;* #,##0.00_);_(&quot;€&quot;* \(#,##0.00\);_(&quot;€&quot;* &quot;-&quot;??_);_(@_)">
                  <c:v>289.03999999999996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57-46E3-97FA-490075D72054}"/>
            </c:ext>
          </c:extLst>
        </c:ser>
        <c:ser>
          <c:idx val="2"/>
          <c:order val="2"/>
          <c:tx>
            <c:v>Ingresos Mensuales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'IG+Bal'!$F$11:$O$11</c:f>
              <c:strCache>
                <c:ptCount val="10"/>
                <c:pt idx="0">
                  <c:v>MARZO</c:v>
                </c:pt>
                <c:pt idx="1">
                  <c:v>ABRIL</c:v>
                </c:pt>
                <c:pt idx="2">
                  <c:v>MAYO</c:v>
                </c:pt>
                <c:pt idx="3">
                  <c:v>JUNIO</c:v>
                </c:pt>
                <c:pt idx="4">
                  <c:v>JULIO</c:v>
                </c:pt>
                <c:pt idx="5">
                  <c:v>AGOSTO</c:v>
                </c:pt>
                <c:pt idx="6">
                  <c:v>SEPTIEMBRE</c:v>
                </c:pt>
                <c:pt idx="7">
                  <c:v>OCTUBRE</c:v>
                </c:pt>
                <c:pt idx="8">
                  <c:v>NOVIEMBRE</c:v>
                </c:pt>
                <c:pt idx="9">
                  <c:v>DICIEMBRE</c:v>
                </c:pt>
              </c:strCache>
            </c:strRef>
          </c:cat>
          <c:val>
            <c:numRef>
              <c:f>'IG+Bal'!$E$7:$M$7</c:f>
              <c:numCache>
                <c:formatCode>_-* #,##0.00\ [$€-C0A]_-;\-* #,##0.00\ [$€-C0A]_-;_-* "-"??\ [$€-C0A]_-;_-@_-</c:formatCode>
                <c:ptCount val="9"/>
                <c:pt idx="0">
                  <c:v>706.74</c:v>
                </c:pt>
                <c:pt idx="1">
                  <c:v>1586.86</c:v>
                </c:pt>
                <c:pt idx="2">
                  <c:v>1729.02</c:v>
                </c:pt>
                <c:pt idx="3">
                  <c:v>1745</c:v>
                </c:pt>
                <c:pt idx="4">
                  <c:v>1861.75</c:v>
                </c:pt>
                <c:pt idx="5">
                  <c:v>2529.9499999999998</c:v>
                </c:pt>
                <c:pt idx="6">
                  <c:v>2269</c:v>
                </c:pt>
                <c:pt idx="7">
                  <c:v>2018.51</c:v>
                </c:pt>
                <c:pt idx="8">
                  <c:v>2171.5700000000002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357-46E3-97FA-490075D72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904016"/>
        <c:axId val="1796892016"/>
      </c:lineChart>
      <c:catAx>
        <c:axId val="179690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892016"/>
        <c:crosses val="autoZero"/>
        <c:auto val="1"/>
        <c:lblAlgn val="ctr"/>
        <c:lblOffset val="100"/>
        <c:noMultiLvlLbl val="0"/>
      </c:catAx>
      <c:valAx>
        <c:axId val="179689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90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18</xdr:row>
      <xdr:rowOff>19050</xdr:rowOff>
    </xdr:from>
    <xdr:to>
      <xdr:col>11</xdr:col>
      <xdr:colOff>502920</xdr:colOff>
      <xdr:row>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3D368C-6114-09E4-F261-4703CD40A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E350C-03C1-4FCB-B91F-F4D96D433655}" name="Table1" displayName="Table1" ref="R3:S9" totalsRowShown="0" headerRowDxfId="1">
  <autoFilter ref="R3:S9" xr:uid="{C7EFA076-C865-48DD-AFBD-AD016C057597}"/>
  <sortState xmlns:xlrd2="http://schemas.microsoft.com/office/spreadsheetml/2017/richdata2" ref="R4:S9">
    <sortCondition ref="R3:R9"/>
  </sortState>
  <tableColumns count="2">
    <tableColumn id="1" xr3:uid="{5CC47433-2C35-47B2-83B1-64078F9BE3D6}" name="TIPO"/>
    <tableColumn id="2" xr3:uid="{1A052ACC-A612-4E80-81D5-887C440E387B}" name="NO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A076-C865-48DD-AFBD-AD016C057597}">
  <sheetPr>
    <tabColor rgb="FF0070C0"/>
  </sheetPr>
  <dimension ref="A1:DN322"/>
  <sheetViews>
    <sheetView tabSelected="1" topLeftCell="C2" workbookViewId="0">
      <selection activeCell="O8" sqref="O8"/>
    </sheetView>
  </sheetViews>
  <sheetFormatPr defaultRowHeight="14.4" x14ac:dyDescent="0.3"/>
  <cols>
    <col min="1" max="2" width="0" hidden="1" customWidth="1"/>
    <col min="4" max="4" width="6.77734375" bestFit="1" customWidth="1"/>
    <col min="5" max="5" width="9.33203125" bestFit="1" customWidth="1"/>
    <col min="6" max="11" width="10.77734375" bestFit="1" customWidth="1"/>
    <col min="12" max="12" width="11.33203125" bestFit="1" customWidth="1"/>
    <col min="13" max="13" width="10.77734375" bestFit="1" customWidth="1"/>
    <col min="14" max="14" width="11" bestFit="1" customWidth="1"/>
    <col min="15" max="15" width="10.21875" bestFit="1" customWidth="1"/>
    <col min="18" max="18" width="16" bestFit="1" customWidth="1"/>
    <col min="19" max="19" width="10.5546875" bestFit="1" customWidth="1"/>
  </cols>
  <sheetData>
    <row r="1" spans="1:118" ht="15" hidden="1" thickBot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</row>
    <row r="2" spans="1:118" ht="15" thickBot="1" x14ac:dyDescent="0.35">
      <c r="A2">
        <v>2</v>
      </c>
      <c r="C2" s="54" t="s">
        <v>19</v>
      </c>
      <c r="D2" s="51">
        <v>2025</v>
      </c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18" x14ac:dyDescent="0.3">
      <c r="A3">
        <v>3</v>
      </c>
      <c r="C3" s="55"/>
      <c r="D3" s="15" t="s">
        <v>0</v>
      </c>
      <c r="E3" s="16" t="s">
        <v>1</v>
      </c>
      <c r="F3" s="16" t="s">
        <v>2</v>
      </c>
      <c r="G3" s="17" t="s">
        <v>3</v>
      </c>
      <c r="H3" s="17" t="s">
        <v>4</v>
      </c>
      <c r="I3" s="17" t="s">
        <v>5</v>
      </c>
      <c r="J3" s="18" t="s">
        <v>6</v>
      </c>
      <c r="K3" s="18" t="s">
        <v>7</v>
      </c>
      <c r="L3" s="18" t="s">
        <v>8</v>
      </c>
      <c r="M3" s="19" t="s">
        <v>9</v>
      </c>
      <c r="N3" s="19" t="s">
        <v>10</v>
      </c>
      <c r="O3" s="20" t="s">
        <v>11</v>
      </c>
      <c r="R3" s="2" t="s">
        <v>15</v>
      </c>
      <c r="S3" s="2" t="s">
        <v>16</v>
      </c>
    </row>
    <row r="4" spans="1:118" ht="15" thickBot="1" x14ac:dyDescent="0.35">
      <c r="A4">
        <v>4</v>
      </c>
      <c r="C4" s="56"/>
      <c r="D4" s="31"/>
      <c r="E4" s="32">
        <v>45714</v>
      </c>
      <c r="F4" s="32">
        <v>45745</v>
      </c>
      <c r="G4" s="32">
        <v>45776</v>
      </c>
      <c r="H4" s="45">
        <v>45811</v>
      </c>
      <c r="I4" s="32">
        <v>45835</v>
      </c>
      <c r="J4" s="32">
        <v>45871</v>
      </c>
      <c r="K4" s="32">
        <v>45867</v>
      </c>
      <c r="L4" s="32">
        <v>45929</v>
      </c>
      <c r="M4" s="32">
        <v>45958</v>
      </c>
      <c r="N4" s="33"/>
      <c r="O4" s="34"/>
      <c r="Q4" t="str">
        <f>Table1[[#This Row],[NOMBRE]]</f>
        <v>G.F</v>
      </c>
      <c r="R4" t="s">
        <v>22</v>
      </c>
      <c r="S4" s="1" t="s">
        <v>32</v>
      </c>
    </row>
    <row r="5" spans="1:118" ht="15" thickBot="1" x14ac:dyDescent="0.35">
      <c r="A5">
        <v>5</v>
      </c>
      <c r="B5" t="s">
        <v>34</v>
      </c>
      <c r="C5" s="28" t="str">
        <f>VLOOKUP(B5,$Q$4:$S$9,1,FALSE)</f>
        <v>In.Tr</v>
      </c>
      <c r="D5" s="38"/>
      <c r="E5" s="39">
        <f>586.74</f>
        <v>586.74</v>
      </c>
      <c r="F5" s="39">
        <f>1466.86</f>
        <v>1466.86</v>
      </c>
      <c r="G5" s="39">
        <f t="shared" ref="G5:M5" si="0">1495.27</f>
        <v>1495.27</v>
      </c>
      <c r="H5" s="39">
        <f t="shared" si="0"/>
        <v>1495.27</v>
      </c>
      <c r="I5" s="39">
        <f t="shared" si="0"/>
        <v>1495.27</v>
      </c>
      <c r="J5" s="39">
        <v>1800</v>
      </c>
      <c r="K5" s="39">
        <v>1800</v>
      </c>
      <c r="L5" s="39">
        <v>1800</v>
      </c>
      <c r="M5" s="39">
        <v>1800</v>
      </c>
      <c r="N5" s="43"/>
      <c r="O5" s="40"/>
      <c r="Q5" t="str">
        <f>Table1[[#This Row],[NOMBRE]]</f>
        <v>G.TOT</v>
      </c>
      <c r="R5" t="s">
        <v>30</v>
      </c>
      <c r="S5" s="1" t="s">
        <v>31</v>
      </c>
    </row>
    <row r="6" spans="1:118" ht="15" thickBot="1" x14ac:dyDescent="0.35">
      <c r="A6">
        <v>6</v>
      </c>
      <c r="B6" t="s">
        <v>12</v>
      </c>
      <c r="C6" s="28" t="str">
        <f t="shared" ref="C6:C7" si="1">VLOOKUP(B6,$Q$4:$S$9,1,FALSE)</f>
        <v>In.F</v>
      </c>
      <c r="D6" s="41"/>
      <c r="E6" s="6">
        <f>120</f>
        <v>120</v>
      </c>
      <c r="F6" s="6">
        <f>120</f>
        <v>120</v>
      </c>
      <c r="G6" s="30">
        <f>120+10.45+1.4+10.57+1+14.5+2.5+12+4.33+50+7</f>
        <v>233.75</v>
      </c>
      <c r="H6" s="30">
        <f>120+2.73+5.4+10+10+17.2+8.6+8.6+8.6+8.6+50</f>
        <v>249.72999999999996</v>
      </c>
      <c r="I6" s="30">
        <f>120+8+1.4+16+11.32+11.32+9.5+11.32+11.3+11.3+0.02+5+150</f>
        <v>366.48</v>
      </c>
      <c r="J6" s="30">
        <f>120+6.5+60+50+230+25.1+11.25+11.25+46+11.25+16.5+14.3+7+10+1.2+1.6+75+16.5+16.5</f>
        <v>729.95</v>
      </c>
      <c r="K6" s="30">
        <f>120+55+46+46+46+46+46+46+8+10</f>
        <v>469</v>
      </c>
      <c r="L6" s="30">
        <f>120+5.25+7.25+4.5+0.01+11.5+70</f>
        <v>218.51</v>
      </c>
      <c r="M6" s="30">
        <f>120+12.2+15.16+15.2+15.16+15.19+15.16+3+7+6.86+6.86+6.86+6.86+5+12.86+12.5+5+7.5+7.15+5+11.85+11.85+11.85+11.85+11.8+11.85</f>
        <v>371.57000000000011</v>
      </c>
      <c r="N6" s="23"/>
      <c r="O6" s="7"/>
      <c r="Q6" t="str">
        <f>Table1[[#This Row],[NOMBRE]]</f>
        <v>G.Var</v>
      </c>
      <c r="R6" t="s">
        <v>21</v>
      </c>
      <c r="S6" s="1" t="s">
        <v>33</v>
      </c>
    </row>
    <row r="7" spans="1:118" ht="15" thickBot="1" x14ac:dyDescent="0.35">
      <c r="A7">
        <v>7</v>
      </c>
      <c r="B7" t="s">
        <v>17</v>
      </c>
      <c r="C7" s="29" t="str">
        <f t="shared" si="1"/>
        <v>In.TOT</v>
      </c>
      <c r="D7" s="42">
        <f>SUM(D5:D6)</f>
        <v>0</v>
      </c>
      <c r="E7" s="8">
        <f>SUM(E5:E6)</f>
        <v>706.74</v>
      </c>
      <c r="F7" s="8">
        <f>SUM(F5:F6)</f>
        <v>1586.86</v>
      </c>
      <c r="G7" s="8">
        <f>SUM(G5:G6)</f>
        <v>1729.02</v>
      </c>
      <c r="H7" s="8">
        <f>SUM(H5:H6)</f>
        <v>1745</v>
      </c>
      <c r="I7" s="8">
        <f t="shared" ref="I7:M7" si="2">SUM(I5:I6)</f>
        <v>1861.75</v>
      </c>
      <c r="J7" s="8">
        <f t="shared" si="2"/>
        <v>2529.9499999999998</v>
      </c>
      <c r="K7" s="8">
        <f t="shared" si="2"/>
        <v>2269</v>
      </c>
      <c r="L7" s="8">
        <f t="shared" si="2"/>
        <v>2018.51</v>
      </c>
      <c r="M7" s="8">
        <f t="shared" si="2"/>
        <v>2171.5700000000002</v>
      </c>
      <c r="N7" s="24"/>
      <c r="O7" s="25"/>
      <c r="Q7" t="str">
        <f>Table1[[#This Row],[NOMBRE]]</f>
        <v>In.F</v>
      </c>
      <c r="R7" t="s">
        <v>14</v>
      </c>
      <c r="S7" s="1" t="s">
        <v>12</v>
      </c>
    </row>
    <row r="8" spans="1:118" x14ac:dyDescent="0.3">
      <c r="A8">
        <v>8</v>
      </c>
      <c r="Q8" t="str">
        <f>Table1[[#This Row],[NOMBRE]]</f>
        <v>In.Tr</v>
      </c>
      <c r="R8" t="s">
        <v>13</v>
      </c>
      <c r="S8" s="1" t="s">
        <v>34</v>
      </c>
    </row>
    <row r="9" spans="1:118" ht="15" thickBot="1" x14ac:dyDescent="0.35">
      <c r="A9">
        <v>9</v>
      </c>
      <c r="Q9" t="str">
        <f>Table1[[#This Row],[NOMBRE]]</f>
        <v>In.TOT</v>
      </c>
      <c r="R9" t="s">
        <v>18</v>
      </c>
      <c r="S9" s="1" t="s">
        <v>17</v>
      </c>
    </row>
    <row r="10" spans="1:118" ht="15" thickBot="1" x14ac:dyDescent="0.35">
      <c r="A10">
        <v>10</v>
      </c>
      <c r="C10" s="57" t="s">
        <v>20</v>
      </c>
      <c r="D10" s="51">
        <v>2025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3"/>
    </row>
    <row r="11" spans="1:118" x14ac:dyDescent="0.3">
      <c r="A11">
        <v>11</v>
      </c>
      <c r="C11" s="58"/>
      <c r="D11" s="15" t="s">
        <v>0</v>
      </c>
      <c r="E11" s="16" t="s">
        <v>1</v>
      </c>
      <c r="F11" s="16" t="s">
        <v>2</v>
      </c>
      <c r="G11" s="17" t="s">
        <v>3</v>
      </c>
      <c r="H11" s="17" t="s">
        <v>4</v>
      </c>
      <c r="I11" s="17" t="s">
        <v>5</v>
      </c>
      <c r="J11" s="18" t="s">
        <v>6</v>
      </c>
      <c r="K11" s="18" t="s">
        <v>7</v>
      </c>
      <c r="L11" s="18" t="s">
        <v>8</v>
      </c>
      <c r="M11" s="19" t="s">
        <v>9</v>
      </c>
      <c r="N11" s="19" t="s">
        <v>10</v>
      </c>
      <c r="O11" s="20" t="s">
        <v>11</v>
      </c>
    </row>
    <row r="12" spans="1:118" ht="15" thickBot="1" x14ac:dyDescent="0.35">
      <c r="A12">
        <v>12</v>
      </c>
      <c r="C12" s="59"/>
      <c r="D12" s="4"/>
      <c r="E12" s="14"/>
      <c r="F12" s="14"/>
      <c r="G12" s="9"/>
      <c r="H12" s="46"/>
      <c r="I12" s="9"/>
      <c r="J12" s="9"/>
      <c r="K12" s="9"/>
      <c r="L12" s="9"/>
      <c r="M12" s="9"/>
      <c r="N12" s="9"/>
      <c r="O12" s="10"/>
      <c r="S12" s="3"/>
    </row>
    <row r="13" spans="1:118" ht="15" thickBot="1" x14ac:dyDescent="0.35">
      <c r="A13">
        <v>13</v>
      </c>
      <c r="B13" t="s">
        <v>32</v>
      </c>
      <c r="C13" s="28" t="str">
        <f>VLOOKUP(B13,$Q$4:$S$9,1,FALSE)</f>
        <v>G.F</v>
      </c>
      <c r="E13" s="11"/>
      <c r="F13" s="6">
        <f>Gastos!D17</f>
        <v>166.36</v>
      </c>
      <c r="G13" s="6">
        <f>Gastos!E17</f>
        <v>278.31</v>
      </c>
      <c r="H13" s="6">
        <f>Gastos!F17</f>
        <v>229.27</v>
      </c>
      <c r="I13" s="48">
        <f>Gastos!G17</f>
        <v>276.05</v>
      </c>
      <c r="J13" s="48">
        <f>Gastos!H17</f>
        <v>410.53999999999996</v>
      </c>
      <c r="K13" s="48">
        <f>Gastos!I17</f>
        <v>100.2</v>
      </c>
      <c r="L13" s="48">
        <f>Gastos!J17</f>
        <v>178.4</v>
      </c>
      <c r="M13" s="48">
        <f>Gastos!K17</f>
        <v>362.14</v>
      </c>
      <c r="N13" s="12"/>
      <c r="O13" s="13"/>
    </row>
    <row r="14" spans="1:118" ht="15" thickBot="1" x14ac:dyDescent="0.35">
      <c r="A14">
        <v>14</v>
      </c>
      <c r="B14" t="s">
        <v>33</v>
      </c>
      <c r="C14" s="28" t="str">
        <f t="shared" ref="C14:C15" si="3">VLOOKUP(B14,$Q$4:$S$9,1,FALSE)</f>
        <v>G.Var</v>
      </c>
      <c r="D14" s="26"/>
      <c r="E14" s="6"/>
      <c r="F14" s="6">
        <f>Gastos!D26</f>
        <v>253.64</v>
      </c>
      <c r="G14" s="6">
        <f>Gastos!E26</f>
        <v>308.46000000000004</v>
      </c>
      <c r="H14" s="6">
        <f>Gastos!F26</f>
        <v>751.5</v>
      </c>
      <c r="I14" s="6">
        <f>Gastos!G26</f>
        <v>839.28</v>
      </c>
      <c r="J14" s="6">
        <f>Gastos!H26</f>
        <v>714.67000000000007</v>
      </c>
      <c r="K14" s="48">
        <f>Gastos!I26</f>
        <v>795.4</v>
      </c>
      <c r="L14" s="48">
        <f>Gastos!J26</f>
        <v>474.14</v>
      </c>
      <c r="M14" s="48">
        <f>Gastos!K26</f>
        <v>289.03999999999996</v>
      </c>
      <c r="N14" s="5"/>
      <c r="O14" s="7"/>
    </row>
    <row r="15" spans="1:118" ht="15" thickBot="1" x14ac:dyDescent="0.35">
      <c r="A15">
        <v>15</v>
      </c>
      <c r="B15" t="s">
        <v>31</v>
      </c>
      <c r="C15" s="29" t="str">
        <f t="shared" si="3"/>
        <v>G.TOT</v>
      </c>
      <c r="D15" s="27">
        <f>SUM(D13:D14)</f>
        <v>0</v>
      </c>
      <c r="E15" s="8">
        <f>SUM(E13:E14)</f>
        <v>0</v>
      </c>
      <c r="F15" s="8">
        <f>SUM(F13:F14)</f>
        <v>420</v>
      </c>
      <c r="G15" s="8">
        <f>SUM(G13:G14)</f>
        <v>586.77</v>
      </c>
      <c r="H15" s="8">
        <f>SUM(H13:H14)</f>
        <v>980.77</v>
      </c>
      <c r="I15" s="8">
        <f t="shared" ref="I15:J15" si="4">SUM(I13:I14)</f>
        <v>1115.33</v>
      </c>
      <c r="J15" s="8">
        <f t="shared" si="4"/>
        <v>1125.21</v>
      </c>
      <c r="K15" s="8">
        <f>SUM(K13:K14)</f>
        <v>895.6</v>
      </c>
      <c r="L15" s="8">
        <f>SUM(L13:L14)</f>
        <v>652.54</v>
      </c>
      <c r="M15" s="8">
        <f>SUM(M13:M14)</f>
        <v>651.17999999999995</v>
      </c>
      <c r="N15" s="9"/>
      <c r="O15" s="10"/>
    </row>
    <row r="16" spans="1:118" x14ac:dyDescent="0.3">
      <c r="A16">
        <v>16</v>
      </c>
    </row>
    <row r="17" spans="1:10" x14ac:dyDescent="0.3">
      <c r="A17">
        <v>17</v>
      </c>
      <c r="H17" s="49"/>
      <c r="I17" s="49"/>
      <c r="J17" s="49"/>
    </row>
    <row r="18" spans="1:10" x14ac:dyDescent="0.3">
      <c r="A18">
        <v>18</v>
      </c>
    </row>
    <row r="19" spans="1:10" x14ac:dyDescent="0.3">
      <c r="A19">
        <v>19</v>
      </c>
    </row>
    <row r="20" spans="1:10" x14ac:dyDescent="0.3">
      <c r="A20">
        <v>20</v>
      </c>
    </row>
    <row r="21" spans="1:10" x14ac:dyDescent="0.3">
      <c r="A21">
        <v>21</v>
      </c>
    </row>
    <row r="22" spans="1:10" x14ac:dyDescent="0.3">
      <c r="A22">
        <v>22</v>
      </c>
    </row>
    <row r="23" spans="1:10" x14ac:dyDescent="0.3">
      <c r="A23">
        <v>23</v>
      </c>
    </row>
    <row r="24" spans="1:10" x14ac:dyDescent="0.3">
      <c r="A24">
        <v>24</v>
      </c>
    </row>
    <row r="25" spans="1:10" x14ac:dyDescent="0.3">
      <c r="A25">
        <v>25</v>
      </c>
    </row>
    <row r="26" spans="1:10" x14ac:dyDescent="0.3">
      <c r="A26">
        <v>26</v>
      </c>
    </row>
    <row r="27" spans="1:10" x14ac:dyDescent="0.3">
      <c r="A27">
        <v>27</v>
      </c>
    </row>
    <row r="28" spans="1:10" x14ac:dyDescent="0.3">
      <c r="A28">
        <v>28</v>
      </c>
    </row>
    <row r="29" spans="1:10" x14ac:dyDescent="0.3">
      <c r="A29">
        <v>29</v>
      </c>
    </row>
    <row r="30" spans="1:10" x14ac:dyDescent="0.3">
      <c r="A30">
        <v>30</v>
      </c>
    </row>
    <row r="31" spans="1:10" x14ac:dyDescent="0.3">
      <c r="A31">
        <v>31</v>
      </c>
    </row>
    <row r="32" spans="1:10" x14ac:dyDescent="0.3">
      <c r="A32">
        <v>32</v>
      </c>
    </row>
    <row r="33" spans="1:1" x14ac:dyDescent="0.3">
      <c r="A33">
        <v>33</v>
      </c>
    </row>
    <row r="34" spans="1:1" x14ac:dyDescent="0.3">
      <c r="A34">
        <v>34</v>
      </c>
    </row>
    <row r="35" spans="1:1" x14ac:dyDescent="0.3">
      <c r="A35">
        <v>35</v>
      </c>
    </row>
    <row r="36" spans="1:1" x14ac:dyDescent="0.3">
      <c r="A36">
        <v>36</v>
      </c>
    </row>
    <row r="37" spans="1:1" x14ac:dyDescent="0.3">
      <c r="A37">
        <v>37</v>
      </c>
    </row>
    <row r="38" spans="1:1" x14ac:dyDescent="0.3">
      <c r="A38">
        <v>38</v>
      </c>
    </row>
    <row r="39" spans="1:1" x14ac:dyDescent="0.3">
      <c r="A39">
        <v>39</v>
      </c>
    </row>
    <row r="40" spans="1:1" x14ac:dyDescent="0.3">
      <c r="A40">
        <v>40</v>
      </c>
    </row>
    <row r="41" spans="1:1" x14ac:dyDescent="0.3">
      <c r="A41">
        <v>41</v>
      </c>
    </row>
    <row r="42" spans="1:1" x14ac:dyDescent="0.3">
      <c r="A42">
        <v>42</v>
      </c>
    </row>
    <row r="43" spans="1:1" x14ac:dyDescent="0.3">
      <c r="A43">
        <v>43</v>
      </c>
    </row>
    <row r="44" spans="1:1" x14ac:dyDescent="0.3">
      <c r="A44">
        <v>44</v>
      </c>
    </row>
    <row r="45" spans="1:1" x14ac:dyDescent="0.3">
      <c r="A45">
        <v>45</v>
      </c>
    </row>
    <row r="46" spans="1:1" x14ac:dyDescent="0.3">
      <c r="A46">
        <v>46</v>
      </c>
    </row>
    <row r="47" spans="1:1" x14ac:dyDescent="0.3">
      <c r="A47">
        <v>47</v>
      </c>
    </row>
    <row r="48" spans="1:1" x14ac:dyDescent="0.3">
      <c r="A48">
        <v>48</v>
      </c>
    </row>
    <row r="49" spans="1:1" x14ac:dyDescent="0.3">
      <c r="A49">
        <v>49</v>
      </c>
    </row>
    <row r="50" spans="1:1" x14ac:dyDescent="0.3">
      <c r="A50">
        <v>50</v>
      </c>
    </row>
    <row r="51" spans="1:1" x14ac:dyDescent="0.3">
      <c r="A51">
        <v>51</v>
      </c>
    </row>
    <row r="52" spans="1:1" x14ac:dyDescent="0.3">
      <c r="A52">
        <v>52</v>
      </c>
    </row>
    <row r="53" spans="1:1" x14ac:dyDescent="0.3">
      <c r="A53">
        <v>53</v>
      </c>
    </row>
    <row r="54" spans="1:1" x14ac:dyDescent="0.3">
      <c r="A54">
        <v>54</v>
      </c>
    </row>
    <row r="55" spans="1:1" x14ac:dyDescent="0.3">
      <c r="A55">
        <v>55</v>
      </c>
    </row>
    <row r="56" spans="1:1" x14ac:dyDescent="0.3">
      <c r="A56">
        <v>56</v>
      </c>
    </row>
    <row r="57" spans="1:1" x14ac:dyDescent="0.3">
      <c r="A57">
        <v>57</v>
      </c>
    </row>
    <row r="58" spans="1:1" x14ac:dyDescent="0.3">
      <c r="A58">
        <v>58</v>
      </c>
    </row>
    <row r="59" spans="1:1" x14ac:dyDescent="0.3">
      <c r="A59">
        <v>59</v>
      </c>
    </row>
    <row r="60" spans="1:1" x14ac:dyDescent="0.3">
      <c r="A60">
        <v>60</v>
      </c>
    </row>
    <row r="61" spans="1:1" x14ac:dyDescent="0.3">
      <c r="A61">
        <v>61</v>
      </c>
    </row>
    <row r="62" spans="1:1" x14ac:dyDescent="0.3">
      <c r="A62">
        <v>62</v>
      </c>
    </row>
    <row r="63" spans="1:1" x14ac:dyDescent="0.3">
      <c r="A63">
        <v>63</v>
      </c>
    </row>
    <row r="64" spans="1:1" x14ac:dyDescent="0.3">
      <c r="A64">
        <v>64</v>
      </c>
    </row>
    <row r="65" spans="1:1" x14ac:dyDescent="0.3">
      <c r="A65">
        <v>65</v>
      </c>
    </row>
    <row r="66" spans="1:1" x14ac:dyDescent="0.3">
      <c r="A66">
        <v>66</v>
      </c>
    </row>
    <row r="67" spans="1:1" x14ac:dyDescent="0.3">
      <c r="A67">
        <v>67</v>
      </c>
    </row>
    <row r="68" spans="1:1" x14ac:dyDescent="0.3">
      <c r="A68">
        <v>68</v>
      </c>
    </row>
    <row r="69" spans="1:1" x14ac:dyDescent="0.3">
      <c r="A69">
        <v>69</v>
      </c>
    </row>
    <row r="70" spans="1:1" x14ac:dyDescent="0.3">
      <c r="A70">
        <v>70</v>
      </c>
    </row>
    <row r="71" spans="1:1" x14ac:dyDescent="0.3">
      <c r="A71">
        <v>71</v>
      </c>
    </row>
    <row r="72" spans="1:1" x14ac:dyDescent="0.3">
      <c r="A72">
        <v>72</v>
      </c>
    </row>
    <row r="73" spans="1:1" x14ac:dyDescent="0.3">
      <c r="A73">
        <v>73</v>
      </c>
    </row>
    <row r="74" spans="1:1" x14ac:dyDescent="0.3">
      <c r="A74">
        <v>74</v>
      </c>
    </row>
    <row r="75" spans="1:1" x14ac:dyDescent="0.3">
      <c r="A75">
        <v>75</v>
      </c>
    </row>
    <row r="76" spans="1:1" x14ac:dyDescent="0.3">
      <c r="A76">
        <v>76</v>
      </c>
    </row>
    <row r="77" spans="1:1" x14ac:dyDescent="0.3">
      <c r="A77">
        <v>77</v>
      </c>
    </row>
    <row r="78" spans="1:1" x14ac:dyDescent="0.3">
      <c r="A78">
        <v>78</v>
      </c>
    </row>
    <row r="79" spans="1:1" x14ac:dyDescent="0.3">
      <c r="A79">
        <v>79</v>
      </c>
    </row>
    <row r="80" spans="1:1" x14ac:dyDescent="0.3">
      <c r="A80">
        <v>80</v>
      </c>
    </row>
    <row r="81" spans="1:1" x14ac:dyDescent="0.3">
      <c r="A81">
        <v>81</v>
      </c>
    </row>
    <row r="82" spans="1:1" x14ac:dyDescent="0.3">
      <c r="A82">
        <v>82</v>
      </c>
    </row>
    <row r="83" spans="1:1" x14ac:dyDescent="0.3">
      <c r="A83">
        <v>83</v>
      </c>
    </row>
    <row r="84" spans="1:1" x14ac:dyDescent="0.3">
      <c r="A84">
        <v>84</v>
      </c>
    </row>
    <row r="85" spans="1:1" x14ac:dyDescent="0.3">
      <c r="A85">
        <v>85</v>
      </c>
    </row>
    <row r="86" spans="1:1" x14ac:dyDescent="0.3">
      <c r="A86">
        <v>86</v>
      </c>
    </row>
    <row r="87" spans="1:1" x14ac:dyDescent="0.3">
      <c r="A87">
        <v>87</v>
      </c>
    </row>
    <row r="88" spans="1:1" x14ac:dyDescent="0.3">
      <c r="A88">
        <v>88</v>
      </c>
    </row>
    <row r="89" spans="1:1" x14ac:dyDescent="0.3">
      <c r="A89">
        <v>89</v>
      </c>
    </row>
    <row r="90" spans="1:1" x14ac:dyDescent="0.3">
      <c r="A90">
        <v>90</v>
      </c>
    </row>
    <row r="91" spans="1:1" x14ac:dyDescent="0.3">
      <c r="A91">
        <v>91</v>
      </c>
    </row>
    <row r="92" spans="1:1" x14ac:dyDescent="0.3">
      <c r="A92">
        <v>92</v>
      </c>
    </row>
    <row r="93" spans="1:1" x14ac:dyDescent="0.3">
      <c r="A93">
        <v>93</v>
      </c>
    </row>
    <row r="94" spans="1:1" x14ac:dyDescent="0.3">
      <c r="A94">
        <v>94</v>
      </c>
    </row>
    <row r="95" spans="1:1" x14ac:dyDescent="0.3">
      <c r="A95">
        <v>95</v>
      </c>
    </row>
    <row r="96" spans="1:1" x14ac:dyDescent="0.3">
      <c r="A96">
        <v>96</v>
      </c>
    </row>
    <row r="97" spans="1:1" x14ac:dyDescent="0.3">
      <c r="A97">
        <v>97</v>
      </c>
    </row>
    <row r="98" spans="1:1" x14ac:dyDescent="0.3">
      <c r="A98">
        <v>98</v>
      </c>
    </row>
    <row r="99" spans="1:1" x14ac:dyDescent="0.3">
      <c r="A99">
        <v>99</v>
      </c>
    </row>
    <row r="100" spans="1:1" x14ac:dyDescent="0.3">
      <c r="A100">
        <v>100</v>
      </c>
    </row>
    <row r="101" spans="1:1" x14ac:dyDescent="0.3">
      <c r="A101">
        <v>101</v>
      </c>
    </row>
    <row r="102" spans="1:1" x14ac:dyDescent="0.3">
      <c r="A102">
        <v>102</v>
      </c>
    </row>
    <row r="103" spans="1:1" x14ac:dyDescent="0.3">
      <c r="A103">
        <v>103</v>
      </c>
    </row>
    <row r="104" spans="1:1" x14ac:dyDescent="0.3">
      <c r="A104">
        <v>104</v>
      </c>
    </row>
    <row r="105" spans="1:1" x14ac:dyDescent="0.3">
      <c r="A105">
        <v>105</v>
      </c>
    </row>
    <row r="106" spans="1:1" x14ac:dyDescent="0.3">
      <c r="A106">
        <v>106</v>
      </c>
    </row>
    <row r="107" spans="1:1" x14ac:dyDescent="0.3">
      <c r="A107">
        <v>107</v>
      </c>
    </row>
    <row r="108" spans="1:1" x14ac:dyDescent="0.3">
      <c r="A108">
        <v>108</v>
      </c>
    </row>
    <row r="109" spans="1:1" x14ac:dyDescent="0.3">
      <c r="A109">
        <v>109</v>
      </c>
    </row>
    <row r="110" spans="1:1" x14ac:dyDescent="0.3">
      <c r="A110">
        <v>110</v>
      </c>
    </row>
    <row r="111" spans="1:1" x14ac:dyDescent="0.3">
      <c r="A111">
        <v>111</v>
      </c>
    </row>
    <row r="112" spans="1:1" x14ac:dyDescent="0.3">
      <c r="A112">
        <v>112</v>
      </c>
    </row>
    <row r="113" spans="1:1" x14ac:dyDescent="0.3">
      <c r="A113">
        <v>113</v>
      </c>
    </row>
    <row r="114" spans="1:1" x14ac:dyDescent="0.3">
      <c r="A114">
        <v>114</v>
      </c>
    </row>
    <row r="115" spans="1:1" x14ac:dyDescent="0.3">
      <c r="A115">
        <v>115</v>
      </c>
    </row>
    <row r="116" spans="1:1" x14ac:dyDescent="0.3">
      <c r="A116">
        <v>116</v>
      </c>
    </row>
    <row r="117" spans="1:1" x14ac:dyDescent="0.3">
      <c r="A117">
        <v>117</v>
      </c>
    </row>
    <row r="118" spans="1:1" x14ac:dyDescent="0.3">
      <c r="A118">
        <v>118</v>
      </c>
    </row>
    <row r="119" spans="1:1" x14ac:dyDescent="0.3">
      <c r="A119">
        <v>119</v>
      </c>
    </row>
    <row r="120" spans="1:1" x14ac:dyDescent="0.3">
      <c r="A120">
        <v>120</v>
      </c>
    </row>
    <row r="121" spans="1:1" x14ac:dyDescent="0.3">
      <c r="A121">
        <v>121</v>
      </c>
    </row>
    <row r="122" spans="1:1" x14ac:dyDescent="0.3">
      <c r="A122">
        <v>122</v>
      </c>
    </row>
    <row r="123" spans="1:1" x14ac:dyDescent="0.3">
      <c r="A123">
        <v>123</v>
      </c>
    </row>
    <row r="124" spans="1:1" x14ac:dyDescent="0.3">
      <c r="A124">
        <v>124</v>
      </c>
    </row>
    <row r="125" spans="1:1" x14ac:dyDescent="0.3">
      <c r="A125">
        <v>125</v>
      </c>
    </row>
    <row r="126" spans="1:1" x14ac:dyDescent="0.3">
      <c r="A126">
        <v>126</v>
      </c>
    </row>
    <row r="127" spans="1:1" x14ac:dyDescent="0.3">
      <c r="A127">
        <v>127</v>
      </c>
    </row>
    <row r="128" spans="1:1" x14ac:dyDescent="0.3">
      <c r="A128">
        <v>128</v>
      </c>
    </row>
    <row r="129" spans="1:1" x14ac:dyDescent="0.3">
      <c r="A129">
        <v>129</v>
      </c>
    </row>
    <row r="130" spans="1:1" x14ac:dyDescent="0.3">
      <c r="A130">
        <v>130</v>
      </c>
    </row>
    <row r="131" spans="1:1" x14ac:dyDescent="0.3">
      <c r="A131">
        <v>131</v>
      </c>
    </row>
    <row r="132" spans="1:1" x14ac:dyDescent="0.3">
      <c r="A132">
        <v>132</v>
      </c>
    </row>
    <row r="133" spans="1:1" x14ac:dyDescent="0.3">
      <c r="A133">
        <v>133</v>
      </c>
    </row>
    <row r="134" spans="1:1" x14ac:dyDescent="0.3">
      <c r="A134">
        <v>134</v>
      </c>
    </row>
    <row r="135" spans="1:1" x14ac:dyDescent="0.3">
      <c r="A135">
        <v>135</v>
      </c>
    </row>
    <row r="136" spans="1:1" x14ac:dyDescent="0.3">
      <c r="A136">
        <v>136</v>
      </c>
    </row>
    <row r="137" spans="1:1" x14ac:dyDescent="0.3">
      <c r="A137">
        <v>137</v>
      </c>
    </row>
    <row r="138" spans="1:1" x14ac:dyDescent="0.3">
      <c r="A138">
        <v>138</v>
      </c>
    </row>
    <row r="139" spans="1:1" x14ac:dyDescent="0.3">
      <c r="A139">
        <v>139</v>
      </c>
    </row>
    <row r="140" spans="1:1" x14ac:dyDescent="0.3">
      <c r="A140">
        <v>140</v>
      </c>
    </row>
    <row r="141" spans="1:1" x14ac:dyDescent="0.3">
      <c r="A141">
        <v>141</v>
      </c>
    </row>
    <row r="142" spans="1:1" x14ac:dyDescent="0.3">
      <c r="A142">
        <v>142</v>
      </c>
    </row>
    <row r="143" spans="1:1" x14ac:dyDescent="0.3">
      <c r="A143">
        <v>143</v>
      </c>
    </row>
    <row r="144" spans="1:1" x14ac:dyDescent="0.3">
      <c r="A144">
        <v>144</v>
      </c>
    </row>
    <row r="145" spans="1:1" x14ac:dyDescent="0.3">
      <c r="A145">
        <v>145</v>
      </c>
    </row>
    <row r="146" spans="1:1" x14ac:dyDescent="0.3">
      <c r="A146">
        <v>146</v>
      </c>
    </row>
    <row r="147" spans="1:1" x14ac:dyDescent="0.3">
      <c r="A147">
        <v>147</v>
      </c>
    </row>
    <row r="148" spans="1:1" x14ac:dyDescent="0.3">
      <c r="A148">
        <v>148</v>
      </c>
    </row>
    <row r="149" spans="1:1" x14ac:dyDescent="0.3">
      <c r="A149">
        <v>149</v>
      </c>
    </row>
    <row r="150" spans="1:1" x14ac:dyDescent="0.3">
      <c r="A150">
        <v>150</v>
      </c>
    </row>
    <row r="151" spans="1:1" x14ac:dyDescent="0.3">
      <c r="A151">
        <v>151</v>
      </c>
    </row>
    <row r="152" spans="1:1" x14ac:dyDescent="0.3">
      <c r="A152">
        <v>152</v>
      </c>
    </row>
    <row r="153" spans="1:1" x14ac:dyDescent="0.3">
      <c r="A153">
        <v>153</v>
      </c>
    </row>
    <row r="154" spans="1:1" x14ac:dyDescent="0.3">
      <c r="A154">
        <v>154</v>
      </c>
    </row>
    <row r="155" spans="1:1" x14ac:dyDescent="0.3">
      <c r="A155">
        <v>155</v>
      </c>
    </row>
    <row r="156" spans="1:1" x14ac:dyDescent="0.3">
      <c r="A156">
        <v>156</v>
      </c>
    </row>
    <row r="157" spans="1:1" x14ac:dyDescent="0.3">
      <c r="A157">
        <v>157</v>
      </c>
    </row>
    <row r="158" spans="1:1" x14ac:dyDescent="0.3">
      <c r="A158">
        <v>158</v>
      </c>
    </row>
    <row r="159" spans="1:1" x14ac:dyDescent="0.3">
      <c r="A159">
        <v>159</v>
      </c>
    </row>
    <row r="160" spans="1:1" x14ac:dyDescent="0.3">
      <c r="A160">
        <v>160</v>
      </c>
    </row>
    <row r="161" spans="1:1" x14ac:dyDescent="0.3">
      <c r="A161">
        <v>161</v>
      </c>
    </row>
    <row r="162" spans="1:1" x14ac:dyDescent="0.3">
      <c r="A162">
        <v>162</v>
      </c>
    </row>
    <row r="163" spans="1:1" x14ac:dyDescent="0.3">
      <c r="A163">
        <v>163</v>
      </c>
    </row>
    <row r="164" spans="1:1" x14ac:dyDescent="0.3">
      <c r="A164">
        <v>164</v>
      </c>
    </row>
    <row r="165" spans="1:1" x14ac:dyDescent="0.3">
      <c r="A165">
        <v>165</v>
      </c>
    </row>
    <row r="166" spans="1:1" x14ac:dyDescent="0.3">
      <c r="A166">
        <v>166</v>
      </c>
    </row>
    <row r="167" spans="1:1" x14ac:dyDescent="0.3">
      <c r="A167">
        <v>167</v>
      </c>
    </row>
    <row r="168" spans="1:1" x14ac:dyDescent="0.3">
      <c r="A168">
        <v>168</v>
      </c>
    </row>
    <row r="169" spans="1:1" x14ac:dyDescent="0.3">
      <c r="A169">
        <v>169</v>
      </c>
    </row>
    <row r="170" spans="1:1" x14ac:dyDescent="0.3">
      <c r="A170">
        <v>170</v>
      </c>
    </row>
    <row r="171" spans="1:1" x14ac:dyDescent="0.3">
      <c r="A171">
        <v>171</v>
      </c>
    </row>
    <row r="172" spans="1:1" x14ac:dyDescent="0.3">
      <c r="A172">
        <v>172</v>
      </c>
    </row>
    <row r="173" spans="1:1" x14ac:dyDescent="0.3">
      <c r="A173">
        <v>173</v>
      </c>
    </row>
    <row r="174" spans="1:1" x14ac:dyDescent="0.3">
      <c r="A174">
        <v>174</v>
      </c>
    </row>
    <row r="175" spans="1:1" x14ac:dyDescent="0.3">
      <c r="A175">
        <v>175</v>
      </c>
    </row>
    <row r="176" spans="1:1" x14ac:dyDescent="0.3">
      <c r="A176">
        <v>176</v>
      </c>
    </row>
    <row r="177" spans="1:1" x14ac:dyDescent="0.3">
      <c r="A177">
        <v>177</v>
      </c>
    </row>
    <row r="178" spans="1:1" x14ac:dyDescent="0.3">
      <c r="A178">
        <v>178</v>
      </c>
    </row>
    <row r="179" spans="1:1" x14ac:dyDescent="0.3">
      <c r="A179">
        <v>179</v>
      </c>
    </row>
    <row r="180" spans="1:1" x14ac:dyDescent="0.3">
      <c r="A180">
        <v>180</v>
      </c>
    </row>
    <row r="181" spans="1:1" x14ac:dyDescent="0.3">
      <c r="A181">
        <v>181</v>
      </c>
    </row>
    <row r="182" spans="1:1" x14ac:dyDescent="0.3">
      <c r="A182">
        <v>182</v>
      </c>
    </row>
    <row r="183" spans="1:1" x14ac:dyDescent="0.3">
      <c r="A183">
        <v>183</v>
      </c>
    </row>
    <row r="184" spans="1:1" x14ac:dyDescent="0.3">
      <c r="A184">
        <v>184</v>
      </c>
    </row>
    <row r="185" spans="1:1" x14ac:dyDescent="0.3">
      <c r="A185">
        <v>185</v>
      </c>
    </row>
    <row r="186" spans="1:1" x14ac:dyDescent="0.3">
      <c r="A186">
        <v>186</v>
      </c>
    </row>
    <row r="187" spans="1:1" x14ac:dyDescent="0.3">
      <c r="A187">
        <v>187</v>
      </c>
    </row>
    <row r="188" spans="1:1" x14ac:dyDescent="0.3">
      <c r="A188">
        <v>188</v>
      </c>
    </row>
    <row r="189" spans="1:1" x14ac:dyDescent="0.3">
      <c r="A189">
        <v>189</v>
      </c>
    </row>
    <row r="190" spans="1:1" x14ac:dyDescent="0.3">
      <c r="A190">
        <v>190</v>
      </c>
    </row>
    <row r="191" spans="1:1" x14ac:dyDescent="0.3">
      <c r="A191">
        <v>191</v>
      </c>
    </row>
    <row r="192" spans="1:1" x14ac:dyDescent="0.3">
      <c r="A192">
        <v>192</v>
      </c>
    </row>
    <row r="193" spans="1:1" x14ac:dyDescent="0.3">
      <c r="A193">
        <v>193</v>
      </c>
    </row>
    <row r="194" spans="1:1" x14ac:dyDescent="0.3">
      <c r="A194">
        <v>194</v>
      </c>
    </row>
    <row r="195" spans="1:1" x14ac:dyDescent="0.3">
      <c r="A195">
        <v>195</v>
      </c>
    </row>
    <row r="196" spans="1:1" x14ac:dyDescent="0.3">
      <c r="A196">
        <v>196</v>
      </c>
    </row>
    <row r="197" spans="1:1" x14ac:dyDescent="0.3">
      <c r="A197">
        <v>197</v>
      </c>
    </row>
    <row r="198" spans="1:1" x14ac:dyDescent="0.3">
      <c r="A198">
        <v>198</v>
      </c>
    </row>
    <row r="199" spans="1:1" x14ac:dyDescent="0.3">
      <c r="A199">
        <v>199</v>
      </c>
    </row>
    <row r="200" spans="1:1" x14ac:dyDescent="0.3">
      <c r="A200">
        <v>200</v>
      </c>
    </row>
    <row r="201" spans="1:1" x14ac:dyDescent="0.3">
      <c r="A201">
        <v>201</v>
      </c>
    </row>
    <row r="202" spans="1:1" x14ac:dyDescent="0.3">
      <c r="A202">
        <v>202</v>
      </c>
    </row>
    <row r="203" spans="1:1" x14ac:dyDescent="0.3">
      <c r="A203">
        <v>203</v>
      </c>
    </row>
    <row r="204" spans="1:1" x14ac:dyDescent="0.3">
      <c r="A204">
        <v>204</v>
      </c>
    </row>
    <row r="205" spans="1:1" x14ac:dyDescent="0.3">
      <c r="A205">
        <v>205</v>
      </c>
    </row>
    <row r="206" spans="1:1" x14ac:dyDescent="0.3">
      <c r="A206">
        <v>206</v>
      </c>
    </row>
    <row r="207" spans="1:1" x14ac:dyDescent="0.3">
      <c r="A207">
        <v>207</v>
      </c>
    </row>
    <row r="208" spans="1:1" x14ac:dyDescent="0.3">
      <c r="A208">
        <v>208</v>
      </c>
    </row>
    <row r="209" spans="1:1" x14ac:dyDescent="0.3">
      <c r="A209">
        <v>209</v>
      </c>
    </row>
    <row r="210" spans="1:1" x14ac:dyDescent="0.3">
      <c r="A210">
        <v>210</v>
      </c>
    </row>
    <row r="211" spans="1:1" x14ac:dyDescent="0.3">
      <c r="A211">
        <v>211</v>
      </c>
    </row>
    <row r="212" spans="1:1" x14ac:dyDescent="0.3">
      <c r="A212">
        <v>212</v>
      </c>
    </row>
    <row r="213" spans="1:1" x14ac:dyDescent="0.3">
      <c r="A213">
        <v>213</v>
      </c>
    </row>
    <row r="214" spans="1:1" x14ac:dyDescent="0.3">
      <c r="A214">
        <v>214</v>
      </c>
    </row>
    <row r="215" spans="1:1" x14ac:dyDescent="0.3">
      <c r="A215">
        <v>215</v>
      </c>
    </row>
    <row r="216" spans="1:1" x14ac:dyDescent="0.3">
      <c r="A216">
        <v>216</v>
      </c>
    </row>
    <row r="217" spans="1:1" x14ac:dyDescent="0.3">
      <c r="A217">
        <v>217</v>
      </c>
    </row>
    <row r="218" spans="1:1" x14ac:dyDescent="0.3">
      <c r="A218">
        <v>218</v>
      </c>
    </row>
    <row r="219" spans="1:1" x14ac:dyDescent="0.3">
      <c r="A219">
        <v>219</v>
      </c>
    </row>
    <row r="220" spans="1:1" x14ac:dyDescent="0.3">
      <c r="A220">
        <v>220</v>
      </c>
    </row>
    <row r="221" spans="1:1" x14ac:dyDescent="0.3">
      <c r="A221">
        <v>221</v>
      </c>
    </row>
    <row r="222" spans="1:1" x14ac:dyDescent="0.3">
      <c r="A222">
        <v>222</v>
      </c>
    </row>
    <row r="223" spans="1:1" x14ac:dyDescent="0.3">
      <c r="A223">
        <v>223</v>
      </c>
    </row>
    <row r="224" spans="1:1" x14ac:dyDescent="0.3">
      <c r="A224">
        <v>224</v>
      </c>
    </row>
    <row r="225" spans="1:1" x14ac:dyDescent="0.3">
      <c r="A225">
        <v>225</v>
      </c>
    </row>
    <row r="226" spans="1:1" x14ac:dyDescent="0.3">
      <c r="A226">
        <v>226</v>
      </c>
    </row>
    <row r="227" spans="1:1" x14ac:dyDescent="0.3">
      <c r="A227">
        <v>227</v>
      </c>
    </row>
    <row r="228" spans="1:1" x14ac:dyDescent="0.3">
      <c r="A228">
        <v>228</v>
      </c>
    </row>
    <row r="229" spans="1:1" x14ac:dyDescent="0.3">
      <c r="A229">
        <v>229</v>
      </c>
    </row>
    <row r="230" spans="1:1" x14ac:dyDescent="0.3">
      <c r="A230">
        <v>230</v>
      </c>
    </row>
    <row r="231" spans="1:1" x14ac:dyDescent="0.3">
      <c r="A231">
        <v>231</v>
      </c>
    </row>
    <row r="232" spans="1:1" x14ac:dyDescent="0.3">
      <c r="A232">
        <v>232</v>
      </c>
    </row>
    <row r="233" spans="1:1" x14ac:dyDescent="0.3">
      <c r="A233">
        <v>233</v>
      </c>
    </row>
    <row r="234" spans="1:1" x14ac:dyDescent="0.3">
      <c r="A234">
        <v>234</v>
      </c>
    </row>
    <row r="235" spans="1:1" x14ac:dyDescent="0.3">
      <c r="A235">
        <v>235</v>
      </c>
    </row>
    <row r="236" spans="1:1" x14ac:dyDescent="0.3">
      <c r="A236">
        <v>236</v>
      </c>
    </row>
    <row r="237" spans="1:1" x14ac:dyDescent="0.3">
      <c r="A237">
        <v>237</v>
      </c>
    </row>
    <row r="238" spans="1:1" x14ac:dyDescent="0.3">
      <c r="A238">
        <v>238</v>
      </c>
    </row>
    <row r="239" spans="1:1" x14ac:dyDescent="0.3">
      <c r="A239">
        <v>239</v>
      </c>
    </row>
    <row r="240" spans="1:1" x14ac:dyDescent="0.3">
      <c r="A240">
        <v>240</v>
      </c>
    </row>
    <row r="241" spans="1:1" x14ac:dyDescent="0.3">
      <c r="A241">
        <v>241</v>
      </c>
    </row>
    <row r="242" spans="1:1" x14ac:dyDescent="0.3">
      <c r="A242">
        <v>242</v>
      </c>
    </row>
    <row r="243" spans="1:1" x14ac:dyDescent="0.3">
      <c r="A243">
        <v>243</v>
      </c>
    </row>
    <row r="244" spans="1:1" x14ac:dyDescent="0.3">
      <c r="A244">
        <v>244</v>
      </c>
    </row>
    <row r="245" spans="1:1" x14ac:dyDescent="0.3">
      <c r="A245">
        <v>245</v>
      </c>
    </row>
    <row r="246" spans="1:1" x14ac:dyDescent="0.3">
      <c r="A246">
        <v>246</v>
      </c>
    </row>
    <row r="247" spans="1:1" x14ac:dyDescent="0.3">
      <c r="A247">
        <v>247</v>
      </c>
    </row>
    <row r="248" spans="1:1" x14ac:dyDescent="0.3">
      <c r="A248">
        <v>248</v>
      </c>
    </row>
    <row r="249" spans="1:1" x14ac:dyDescent="0.3">
      <c r="A249">
        <v>249</v>
      </c>
    </row>
    <row r="250" spans="1:1" x14ac:dyDescent="0.3">
      <c r="A250">
        <v>250</v>
      </c>
    </row>
    <row r="251" spans="1:1" x14ac:dyDescent="0.3">
      <c r="A251">
        <v>251</v>
      </c>
    </row>
    <row r="252" spans="1:1" x14ac:dyDescent="0.3">
      <c r="A252">
        <v>252</v>
      </c>
    </row>
    <row r="253" spans="1:1" x14ac:dyDescent="0.3">
      <c r="A253">
        <v>253</v>
      </c>
    </row>
    <row r="254" spans="1:1" x14ac:dyDescent="0.3">
      <c r="A254">
        <v>254</v>
      </c>
    </row>
    <row r="255" spans="1:1" x14ac:dyDescent="0.3">
      <c r="A255">
        <v>255</v>
      </c>
    </row>
    <row r="256" spans="1:1" x14ac:dyDescent="0.3">
      <c r="A256">
        <v>256</v>
      </c>
    </row>
    <row r="257" spans="1:1" x14ac:dyDescent="0.3">
      <c r="A257">
        <v>257</v>
      </c>
    </row>
    <row r="258" spans="1:1" x14ac:dyDescent="0.3">
      <c r="A258">
        <v>258</v>
      </c>
    </row>
    <row r="259" spans="1:1" x14ac:dyDescent="0.3">
      <c r="A259">
        <v>259</v>
      </c>
    </row>
    <row r="260" spans="1:1" x14ac:dyDescent="0.3">
      <c r="A260">
        <v>260</v>
      </c>
    </row>
    <row r="261" spans="1:1" x14ac:dyDescent="0.3">
      <c r="A261">
        <v>261</v>
      </c>
    </row>
    <row r="262" spans="1:1" x14ac:dyDescent="0.3">
      <c r="A262">
        <v>262</v>
      </c>
    </row>
    <row r="263" spans="1:1" x14ac:dyDescent="0.3">
      <c r="A263">
        <v>263</v>
      </c>
    </row>
    <row r="264" spans="1:1" x14ac:dyDescent="0.3">
      <c r="A264">
        <v>264</v>
      </c>
    </row>
    <row r="265" spans="1:1" x14ac:dyDescent="0.3">
      <c r="A265">
        <v>265</v>
      </c>
    </row>
    <row r="266" spans="1:1" x14ac:dyDescent="0.3">
      <c r="A266">
        <v>266</v>
      </c>
    </row>
    <row r="267" spans="1:1" x14ac:dyDescent="0.3">
      <c r="A267">
        <v>267</v>
      </c>
    </row>
    <row r="268" spans="1:1" x14ac:dyDescent="0.3">
      <c r="A268">
        <v>268</v>
      </c>
    </row>
    <row r="269" spans="1:1" x14ac:dyDescent="0.3">
      <c r="A269">
        <v>269</v>
      </c>
    </row>
    <row r="270" spans="1:1" x14ac:dyDescent="0.3">
      <c r="A270">
        <v>270</v>
      </c>
    </row>
    <row r="271" spans="1:1" x14ac:dyDescent="0.3">
      <c r="A271">
        <v>271</v>
      </c>
    </row>
    <row r="272" spans="1:1" x14ac:dyDescent="0.3">
      <c r="A272">
        <v>272</v>
      </c>
    </row>
    <row r="273" spans="1:1" x14ac:dyDescent="0.3">
      <c r="A273">
        <v>273</v>
      </c>
    </row>
    <row r="274" spans="1:1" x14ac:dyDescent="0.3">
      <c r="A274">
        <v>274</v>
      </c>
    </row>
    <row r="275" spans="1:1" x14ac:dyDescent="0.3">
      <c r="A275">
        <v>275</v>
      </c>
    </row>
    <row r="276" spans="1:1" x14ac:dyDescent="0.3">
      <c r="A276">
        <v>276</v>
      </c>
    </row>
    <row r="277" spans="1:1" x14ac:dyDescent="0.3">
      <c r="A277">
        <v>277</v>
      </c>
    </row>
    <row r="278" spans="1:1" x14ac:dyDescent="0.3">
      <c r="A278">
        <v>278</v>
      </c>
    </row>
    <row r="279" spans="1:1" x14ac:dyDescent="0.3">
      <c r="A279">
        <v>279</v>
      </c>
    </row>
    <row r="280" spans="1:1" x14ac:dyDescent="0.3">
      <c r="A280">
        <v>280</v>
      </c>
    </row>
    <row r="281" spans="1:1" x14ac:dyDescent="0.3">
      <c r="A281">
        <v>281</v>
      </c>
    </row>
    <row r="282" spans="1:1" x14ac:dyDescent="0.3">
      <c r="A282">
        <v>282</v>
      </c>
    </row>
    <row r="283" spans="1:1" x14ac:dyDescent="0.3">
      <c r="A283">
        <v>283</v>
      </c>
    </row>
    <row r="284" spans="1:1" x14ac:dyDescent="0.3">
      <c r="A284">
        <v>284</v>
      </c>
    </row>
    <row r="285" spans="1:1" x14ac:dyDescent="0.3">
      <c r="A285">
        <v>285</v>
      </c>
    </row>
    <row r="286" spans="1:1" x14ac:dyDescent="0.3">
      <c r="A286">
        <v>286</v>
      </c>
    </row>
    <row r="287" spans="1:1" x14ac:dyDescent="0.3">
      <c r="A287">
        <v>287</v>
      </c>
    </row>
    <row r="288" spans="1:1" x14ac:dyDescent="0.3">
      <c r="A288">
        <v>288</v>
      </c>
    </row>
    <row r="289" spans="1:1" x14ac:dyDescent="0.3">
      <c r="A289">
        <v>289</v>
      </c>
    </row>
    <row r="290" spans="1:1" x14ac:dyDescent="0.3">
      <c r="A290">
        <v>290</v>
      </c>
    </row>
    <row r="291" spans="1:1" x14ac:dyDescent="0.3">
      <c r="A291">
        <v>291</v>
      </c>
    </row>
    <row r="292" spans="1:1" x14ac:dyDescent="0.3">
      <c r="A292">
        <v>292</v>
      </c>
    </row>
    <row r="293" spans="1:1" x14ac:dyDescent="0.3">
      <c r="A293">
        <v>293</v>
      </c>
    </row>
    <row r="294" spans="1:1" x14ac:dyDescent="0.3">
      <c r="A294">
        <v>294</v>
      </c>
    </row>
    <row r="295" spans="1:1" x14ac:dyDescent="0.3">
      <c r="A295">
        <v>295</v>
      </c>
    </row>
    <row r="296" spans="1:1" x14ac:dyDescent="0.3">
      <c r="A296">
        <v>296</v>
      </c>
    </row>
    <row r="297" spans="1:1" x14ac:dyDescent="0.3">
      <c r="A297">
        <v>297</v>
      </c>
    </row>
    <row r="298" spans="1:1" x14ac:dyDescent="0.3">
      <c r="A298">
        <v>298</v>
      </c>
    </row>
    <row r="299" spans="1:1" x14ac:dyDescent="0.3">
      <c r="A299">
        <v>299</v>
      </c>
    </row>
    <row r="300" spans="1:1" x14ac:dyDescent="0.3">
      <c r="A300">
        <v>300</v>
      </c>
    </row>
    <row r="301" spans="1:1" x14ac:dyDescent="0.3">
      <c r="A301">
        <v>301</v>
      </c>
    </row>
    <row r="302" spans="1:1" x14ac:dyDescent="0.3">
      <c r="A302">
        <v>302</v>
      </c>
    </row>
    <row r="303" spans="1:1" x14ac:dyDescent="0.3">
      <c r="A303">
        <v>303</v>
      </c>
    </row>
    <row r="304" spans="1:1" x14ac:dyDescent="0.3">
      <c r="A304">
        <v>304</v>
      </c>
    </row>
    <row r="305" spans="1:1" x14ac:dyDescent="0.3">
      <c r="A305">
        <v>305</v>
      </c>
    </row>
    <row r="306" spans="1:1" x14ac:dyDescent="0.3">
      <c r="A306">
        <v>306</v>
      </c>
    </row>
    <row r="307" spans="1:1" x14ac:dyDescent="0.3">
      <c r="A307">
        <v>307</v>
      </c>
    </row>
    <row r="308" spans="1:1" x14ac:dyDescent="0.3">
      <c r="A308">
        <v>308</v>
      </c>
    </row>
    <row r="309" spans="1:1" x14ac:dyDescent="0.3">
      <c r="A309">
        <v>309</v>
      </c>
    </row>
    <row r="310" spans="1:1" x14ac:dyDescent="0.3">
      <c r="A310">
        <v>310</v>
      </c>
    </row>
    <row r="311" spans="1:1" x14ac:dyDescent="0.3">
      <c r="A311">
        <v>311</v>
      </c>
    </row>
    <row r="312" spans="1:1" x14ac:dyDescent="0.3">
      <c r="A312">
        <v>312</v>
      </c>
    </row>
    <row r="313" spans="1:1" x14ac:dyDescent="0.3">
      <c r="A313">
        <v>313</v>
      </c>
    </row>
    <row r="314" spans="1:1" x14ac:dyDescent="0.3">
      <c r="A314">
        <v>314</v>
      </c>
    </row>
    <row r="315" spans="1:1" x14ac:dyDescent="0.3">
      <c r="A315">
        <v>315</v>
      </c>
    </row>
    <row r="316" spans="1:1" x14ac:dyDescent="0.3">
      <c r="A316">
        <v>316</v>
      </c>
    </row>
    <row r="317" spans="1:1" x14ac:dyDescent="0.3">
      <c r="A317">
        <v>317</v>
      </c>
    </row>
    <row r="318" spans="1:1" x14ac:dyDescent="0.3">
      <c r="A318">
        <v>318</v>
      </c>
    </row>
    <row r="319" spans="1:1" x14ac:dyDescent="0.3">
      <c r="A319">
        <v>319</v>
      </c>
    </row>
    <row r="320" spans="1:1" x14ac:dyDescent="0.3">
      <c r="A320">
        <v>320</v>
      </c>
    </row>
    <row r="321" spans="1:1" x14ac:dyDescent="0.3">
      <c r="A321">
        <v>321</v>
      </c>
    </row>
    <row r="322" spans="1:1" x14ac:dyDescent="0.3">
      <c r="A322">
        <v>322</v>
      </c>
    </row>
  </sheetData>
  <mergeCells count="4">
    <mergeCell ref="D2:O2"/>
    <mergeCell ref="D10:O10"/>
    <mergeCell ref="C2:C4"/>
    <mergeCell ref="C10:C1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914E-C491-4C8E-8B42-0ED12B978597}">
  <sheetPr>
    <tabColor rgb="FF00B0F0"/>
  </sheetPr>
  <dimension ref="A1:AA26"/>
  <sheetViews>
    <sheetView topLeftCell="A10" zoomScale="96" zoomScaleNormal="68" workbookViewId="0">
      <selection activeCell="H27" sqref="H27"/>
    </sheetView>
  </sheetViews>
  <sheetFormatPr defaultRowHeight="14.4" x14ac:dyDescent="0.3"/>
  <cols>
    <col min="1" max="1" width="26.5546875" bestFit="1" customWidth="1"/>
    <col min="2" max="2" width="7.109375" bestFit="1" customWidth="1"/>
    <col min="3" max="3" width="9" bestFit="1" customWidth="1"/>
    <col min="4" max="9" width="9.5546875" bestFit="1" customWidth="1"/>
    <col min="10" max="10" width="19.5546875" bestFit="1" customWidth="1"/>
    <col min="11" max="11" width="9.5546875" bestFit="1" customWidth="1"/>
    <col min="12" max="12" width="19.5546875" bestFit="1" customWidth="1"/>
    <col min="13" max="13" width="10.6640625" bestFit="1" customWidth="1"/>
    <col min="14" max="14" width="18.33203125" bestFit="1" customWidth="1"/>
    <col min="15" max="15" width="9.5546875" bestFit="1" customWidth="1"/>
    <col min="16" max="16" width="18.6640625" bestFit="1" customWidth="1"/>
    <col min="17" max="17" width="9.5546875" bestFit="1" customWidth="1"/>
    <col min="18" max="18" width="17.33203125" bestFit="1" customWidth="1"/>
    <col min="19" max="19" width="9.5546875" bestFit="1" customWidth="1"/>
    <col min="20" max="20" width="16.109375" bestFit="1" customWidth="1"/>
    <col min="21" max="21" width="9.5546875" bestFit="1" customWidth="1"/>
    <col min="22" max="22" width="19.5546875" bestFit="1" customWidth="1"/>
    <col min="23" max="23" width="9.5546875" bestFit="1" customWidth="1"/>
    <col min="24" max="24" width="19.5546875" bestFit="1" customWidth="1"/>
    <col min="25" max="25" width="10.109375" bestFit="1" customWidth="1"/>
    <col min="26" max="26" width="19.21875" bestFit="1" customWidth="1"/>
  </cols>
  <sheetData>
    <row r="1" spans="1:27" x14ac:dyDescent="0.3">
      <c r="F1" t="s">
        <v>36</v>
      </c>
      <c r="J1" s="35" t="s">
        <v>39</v>
      </c>
      <c r="L1" s="35" t="s">
        <v>42</v>
      </c>
      <c r="N1" s="35" t="s">
        <v>43</v>
      </c>
      <c r="P1" s="44" t="s">
        <v>44</v>
      </c>
      <c r="R1" s="35" t="s">
        <v>45</v>
      </c>
      <c r="T1" s="35" t="s">
        <v>46</v>
      </c>
      <c r="V1" s="35" t="s">
        <v>47</v>
      </c>
      <c r="X1" s="35" t="s">
        <v>48</v>
      </c>
      <c r="Z1" s="35" t="s">
        <v>49</v>
      </c>
    </row>
    <row r="2" spans="1:27" x14ac:dyDescent="0.3">
      <c r="F2" t="s">
        <v>35</v>
      </c>
      <c r="J2" t="s">
        <v>36</v>
      </c>
      <c r="K2" s="47">
        <f>5.89</f>
        <v>5.89</v>
      </c>
      <c r="L2" t="s">
        <v>35</v>
      </c>
      <c r="M2" s="47">
        <f>8.65+9.35+8.5+1+4.2+1.2+1.4+13.1+10.6+4+16.48+4.65+9.9+15.1+8.65+15.7+4+7+14</f>
        <v>157.48000000000002</v>
      </c>
      <c r="N2" t="s">
        <v>41</v>
      </c>
      <c r="O2" s="47">
        <f>108+330+3.8+2.8+0.99+7.99+34.98+5.49+8.99+1.1+120+2+3.8</f>
        <v>629.94000000000005</v>
      </c>
      <c r="P2" t="s">
        <v>41</v>
      </c>
      <c r="Q2" s="47">
        <f>7.99+2.8+30+12.83+70+0.99+3.9+1.9+56.77+4+10+7</f>
        <v>208.18</v>
      </c>
      <c r="R2" t="s">
        <v>35</v>
      </c>
      <c r="S2" s="47">
        <f>4.3+4.5+12.99+3.8+10.3+1.55+8.65+21.41+21.82+50.2+13+8.65+13.45+1.5+1.4+8.7</f>
        <v>186.21999999999997</v>
      </c>
      <c r="T2" t="s">
        <v>41</v>
      </c>
      <c r="U2" s="47">
        <f>4.62+8+55+10+118+7.5+2.05+6.6+2.8+2.8+0.99+3.2+250+14+8+1.9+10.3+7.32+1.5+1.65+4.8+10.15</f>
        <v>531.17999999999995</v>
      </c>
      <c r="V2" t="s">
        <v>35</v>
      </c>
      <c r="W2" s="47">
        <f>17.4+54.68+7.15+10.7+6.25+32.95</f>
        <v>129.13</v>
      </c>
      <c r="X2" t="s">
        <v>41</v>
      </c>
      <c r="Y2" s="47">
        <f>28.7+1.9+0.99+3.6+17.07+1.5+4.35+6.99+2.99+3.5+10+30+4.2+3.8+4</f>
        <v>123.58999999999999</v>
      </c>
      <c r="AA2" s="47"/>
    </row>
    <row r="3" spans="1:27" x14ac:dyDescent="0.3">
      <c r="F3" t="s">
        <v>37</v>
      </c>
      <c r="J3" t="s">
        <v>35</v>
      </c>
      <c r="K3" s="47">
        <f>9.75+10.45+5+25+11.83+4.35+18.4+6.65+3.8</f>
        <v>95.23</v>
      </c>
      <c r="L3" t="s">
        <v>38</v>
      </c>
      <c r="M3" s="47">
        <f>59.11+61.72</f>
        <v>120.83</v>
      </c>
      <c r="N3" t="s">
        <v>40</v>
      </c>
      <c r="O3" s="47">
        <f>121.56</f>
        <v>121.56</v>
      </c>
      <c r="P3" t="s">
        <v>35</v>
      </c>
      <c r="Q3" s="47">
        <f>18+16.15+90.6+100+51.3</f>
        <v>276.05</v>
      </c>
      <c r="R3" t="s">
        <v>41</v>
      </c>
      <c r="S3" s="47">
        <f>1.5+5.9+4.89+8.19+68+22.97+10.98+3.25+0.99+1.5+7.29+2+184.75+5+92+4.94+11+1.9+5.37+1+4.8+5+62.65+5.6+75+7.5</f>
        <v>603.97</v>
      </c>
      <c r="T3" t="s">
        <v>40</v>
      </c>
      <c r="U3" s="47">
        <f>13+22.45+33.76+6.19+2.2+57.18+40.45+12.31+31.19+18.25+11.52+15.72</f>
        <v>264.22000000000003</v>
      </c>
      <c r="V3" t="s">
        <v>41</v>
      </c>
      <c r="W3" s="47">
        <f>3.5+5+3.3+2.8+0.99+1.5+1.9+174+1.6+12.59+6.1+6.3+3.6+148.8+1.5+15+13.97+1.9+68.89+0.9</f>
        <v>474.14</v>
      </c>
      <c r="X3" t="s">
        <v>38</v>
      </c>
      <c r="Y3" s="47">
        <f>48.99+48.85</f>
        <v>97.84</v>
      </c>
      <c r="AA3" s="47"/>
    </row>
    <row r="4" spans="1:27" x14ac:dyDescent="0.3">
      <c r="F4" t="s">
        <v>38</v>
      </c>
      <c r="J4" t="s">
        <v>37</v>
      </c>
      <c r="K4" s="47">
        <f>18</f>
        <v>18</v>
      </c>
      <c r="L4" t="s">
        <v>40</v>
      </c>
      <c r="M4" s="47">
        <f>25.51+147.65</f>
        <v>173.16</v>
      </c>
      <c r="N4" t="s">
        <v>35</v>
      </c>
      <c r="O4" s="47">
        <f>12.1+21.5+36.7+8.1+85.96+9.23+2.66</f>
        <v>176.25</v>
      </c>
      <c r="P4" t="s">
        <v>40</v>
      </c>
      <c r="Q4" s="47">
        <f>75.93+555.17</f>
        <v>631.09999999999991</v>
      </c>
      <c r="R4" t="s">
        <v>38</v>
      </c>
      <c r="S4" s="47">
        <f>53.66+70.7+50.55+49.41</f>
        <v>224.32</v>
      </c>
      <c r="T4" t="s">
        <v>35</v>
      </c>
      <c r="U4" s="47">
        <f>16+8+40.2+22.47+13.53</f>
        <v>100.2</v>
      </c>
      <c r="V4" t="s">
        <v>38</v>
      </c>
      <c r="W4" s="47">
        <f>49.27</f>
        <v>49.27</v>
      </c>
      <c r="X4" t="s">
        <v>35</v>
      </c>
      <c r="Y4" s="47">
        <f>3.55+2.9+7.5+48+106.1+8.5+2+2.95+8.65+22.5+11.5+14.3+6.5+9.25+10.1</f>
        <v>264.3</v>
      </c>
      <c r="AA4" s="47"/>
    </row>
    <row r="5" spans="1:27" x14ac:dyDescent="0.3">
      <c r="F5" t="s">
        <v>40</v>
      </c>
      <c r="J5" t="s">
        <v>40</v>
      </c>
      <c r="K5" s="47">
        <f>67.92+158.83</f>
        <v>226.75</v>
      </c>
      <c r="L5" t="s">
        <v>41</v>
      </c>
      <c r="M5" s="47">
        <f>9.5+5+1+2.8+2+115</f>
        <v>135.30000000000001</v>
      </c>
      <c r="N5" t="s">
        <v>38</v>
      </c>
      <c r="O5" s="47">
        <f>53.02</f>
        <v>53.02</v>
      </c>
      <c r="Q5" s="36"/>
      <c r="R5" t="s">
        <v>36</v>
      </c>
      <c r="S5" s="47">
        <f>44.7+66</f>
        <v>110.7</v>
      </c>
      <c r="X5" t="s">
        <v>36</v>
      </c>
      <c r="Y5" s="47">
        <f>9+9+9+15+77.55</f>
        <v>119.55</v>
      </c>
    </row>
    <row r="6" spans="1:27" x14ac:dyDescent="0.3">
      <c r="F6" t="s">
        <v>41</v>
      </c>
      <c r="J6" t="s">
        <v>38</v>
      </c>
      <c r="K6" s="47">
        <f>71.13</f>
        <v>71.13</v>
      </c>
      <c r="M6" s="36"/>
      <c r="O6" s="36"/>
      <c r="Q6" s="36"/>
      <c r="X6" t="s">
        <v>40</v>
      </c>
      <c r="Y6" s="47">
        <f>27.2+11.7+7</f>
        <v>45.9</v>
      </c>
    </row>
    <row r="7" spans="1:27" x14ac:dyDescent="0.3">
      <c r="J7" t="s">
        <v>41</v>
      </c>
      <c r="K7" s="47">
        <f>1+2</f>
        <v>3</v>
      </c>
      <c r="M7" s="36"/>
      <c r="O7" s="36"/>
    </row>
    <row r="8" spans="1:27" x14ac:dyDescent="0.3">
      <c r="K8" s="36"/>
    </row>
    <row r="9" spans="1:27" x14ac:dyDescent="0.3">
      <c r="K9" s="36"/>
    </row>
    <row r="10" spans="1:27" x14ac:dyDescent="0.3">
      <c r="K10" s="36"/>
    </row>
    <row r="12" spans="1:27" ht="15" thickBot="1" x14ac:dyDescent="0.35"/>
    <row r="13" spans="1:27" ht="15" thickBot="1" x14ac:dyDescent="0.35">
      <c r="B13" s="51">
        <v>2025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3"/>
    </row>
    <row r="14" spans="1:27" x14ac:dyDescent="0.3">
      <c r="A14" s="21" t="s">
        <v>28</v>
      </c>
      <c r="B14" s="15" t="s">
        <v>0</v>
      </c>
      <c r="C14" s="16" t="s">
        <v>1</v>
      </c>
      <c r="D14" s="16" t="s">
        <v>2</v>
      </c>
      <c r="E14" s="17" t="s">
        <v>3</v>
      </c>
      <c r="F14" s="17" t="s">
        <v>4</v>
      </c>
      <c r="G14" s="17" t="s">
        <v>5</v>
      </c>
      <c r="H14" s="18" t="s">
        <v>6</v>
      </c>
      <c r="I14" s="18" t="s">
        <v>7</v>
      </c>
      <c r="J14" s="18" t="s">
        <v>8</v>
      </c>
      <c r="K14" s="19" t="s">
        <v>9</v>
      </c>
      <c r="L14" s="19" t="s">
        <v>10</v>
      </c>
      <c r="M14" s="20" t="s">
        <v>11</v>
      </c>
    </row>
    <row r="15" spans="1:27" x14ac:dyDescent="0.3">
      <c r="A15" t="s">
        <v>23</v>
      </c>
      <c r="B15" s="3"/>
      <c r="D15" s="37">
        <f>K6</f>
        <v>71.13</v>
      </c>
      <c r="E15" s="37">
        <f>M3</f>
        <v>120.83</v>
      </c>
      <c r="F15" s="37">
        <f>O5</f>
        <v>53.02</v>
      </c>
      <c r="G15" s="37">
        <f>0</f>
        <v>0</v>
      </c>
      <c r="H15" s="37">
        <f>S4</f>
        <v>224.32</v>
      </c>
      <c r="I15" s="37">
        <f>0</f>
        <v>0</v>
      </c>
      <c r="J15" s="37">
        <f>W4</f>
        <v>49.27</v>
      </c>
      <c r="K15" s="37">
        <f>Y3</f>
        <v>97.84</v>
      </c>
    </row>
    <row r="16" spans="1:27" x14ac:dyDescent="0.3">
      <c r="A16" t="s">
        <v>24</v>
      </c>
      <c r="D16" s="37">
        <f>K3</f>
        <v>95.23</v>
      </c>
      <c r="E16" s="37">
        <f>M2</f>
        <v>157.48000000000002</v>
      </c>
      <c r="F16" s="37">
        <f>O4</f>
        <v>176.25</v>
      </c>
      <c r="G16" s="37">
        <f>Q3</f>
        <v>276.05</v>
      </c>
      <c r="H16" s="37">
        <f>S2</f>
        <v>186.21999999999997</v>
      </c>
      <c r="I16" s="37">
        <f>U4</f>
        <v>100.2</v>
      </c>
      <c r="J16" s="37">
        <f>W2</f>
        <v>129.13</v>
      </c>
      <c r="K16" s="37">
        <f>Y4</f>
        <v>264.3</v>
      </c>
    </row>
    <row r="17" spans="1:13" x14ac:dyDescent="0.3">
      <c r="A17" s="21" t="s">
        <v>25</v>
      </c>
      <c r="B17" s="3">
        <f>SUM(B15:B16)</f>
        <v>0</v>
      </c>
      <c r="C17" s="3">
        <f t="shared" ref="C17:I17" si="0">SUM(C15:C16)</f>
        <v>0</v>
      </c>
      <c r="D17" s="3">
        <f t="shared" si="0"/>
        <v>166.36</v>
      </c>
      <c r="E17" s="3">
        <f t="shared" si="0"/>
        <v>278.31</v>
      </c>
      <c r="F17" s="3">
        <f t="shared" si="0"/>
        <v>229.27</v>
      </c>
      <c r="G17" s="3">
        <f t="shared" si="0"/>
        <v>276.05</v>
      </c>
      <c r="H17" s="3">
        <f t="shared" si="0"/>
        <v>410.53999999999996</v>
      </c>
      <c r="I17" s="3">
        <f t="shared" si="0"/>
        <v>100.2</v>
      </c>
      <c r="J17" s="3">
        <f t="shared" ref="J17:K17" si="1">SUM(J15:J16)</f>
        <v>178.4</v>
      </c>
      <c r="K17" s="3">
        <f t="shared" si="1"/>
        <v>362.14</v>
      </c>
      <c r="L17" s="50"/>
    </row>
    <row r="21" spans="1:13" ht="15" thickBot="1" x14ac:dyDescent="0.35"/>
    <row r="22" spans="1:13" ht="15" thickBot="1" x14ac:dyDescent="0.35">
      <c r="B22" s="51">
        <v>2025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3"/>
    </row>
    <row r="23" spans="1:13" x14ac:dyDescent="0.3">
      <c r="A23" s="21" t="s">
        <v>29</v>
      </c>
      <c r="B23" s="15" t="s">
        <v>0</v>
      </c>
      <c r="C23" s="16" t="s">
        <v>1</v>
      </c>
      <c r="D23" s="16" t="s">
        <v>2</v>
      </c>
      <c r="E23" s="17" t="s">
        <v>3</v>
      </c>
      <c r="F23" s="17" t="s">
        <v>4</v>
      </c>
      <c r="G23" s="17" t="s">
        <v>5</v>
      </c>
      <c r="H23" s="18" t="s">
        <v>6</v>
      </c>
      <c r="I23" s="18" t="s">
        <v>7</v>
      </c>
      <c r="J23" s="18" t="s">
        <v>8</v>
      </c>
      <c r="K23" s="19" t="s">
        <v>9</v>
      </c>
      <c r="L23" s="19" t="s">
        <v>10</v>
      </c>
      <c r="M23" s="20" t="s">
        <v>11</v>
      </c>
    </row>
    <row r="24" spans="1:13" x14ac:dyDescent="0.3">
      <c r="A24" t="s">
        <v>26</v>
      </c>
      <c r="B24" s="3"/>
      <c r="D24" s="37">
        <f>K5</f>
        <v>226.75</v>
      </c>
      <c r="E24" s="37">
        <f>M4</f>
        <v>173.16</v>
      </c>
      <c r="F24" s="37">
        <f>O3</f>
        <v>121.56</v>
      </c>
      <c r="G24" s="37">
        <f>Q4</f>
        <v>631.09999999999991</v>
      </c>
      <c r="H24" s="37">
        <f>0</f>
        <v>0</v>
      </c>
      <c r="I24" s="37">
        <f>U3</f>
        <v>264.22000000000003</v>
      </c>
      <c r="J24" s="37">
        <f>0</f>
        <v>0</v>
      </c>
      <c r="K24" s="37">
        <f>Y6</f>
        <v>45.9</v>
      </c>
    </row>
    <row r="25" spans="1:13" x14ac:dyDescent="0.3">
      <c r="A25" s="22" t="s">
        <v>27</v>
      </c>
      <c r="D25" s="37">
        <f>K2+K4+K7</f>
        <v>26.89</v>
      </c>
      <c r="E25" s="37">
        <f>M5</f>
        <v>135.30000000000001</v>
      </c>
      <c r="F25" s="37">
        <f>O2</f>
        <v>629.94000000000005</v>
      </c>
      <c r="G25" s="37">
        <f>Q2</f>
        <v>208.18</v>
      </c>
      <c r="H25" s="37">
        <f>S3+S5</f>
        <v>714.67000000000007</v>
      </c>
      <c r="I25" s="37">
        <f>U2</f>
        <v>531.17999999999995</v>
      </c>
      <c r="J25" s="37">
        <f>W3</f>
        <v>474.14</v>
      </c>
      <c r="K25" s="37">
        <f>Y2+Y5</f>
        <v>243.14</v>
      </c>
    </row>
    <row r="26" spans="1:13" x14ac:dyDescent="0.3">
      <c r="A26" s="21" t="s">
        <v>25</v>
      </c>
      <c r="B26" s="3">
        <f t="shared" ref="B26:F26" si="2">SUM(B24:B25)</f>
        <v>0</v>
      </c>
      <c r="C26" s="3">
        <f t="shared" si="2"/>
        <v>0</v>
      </c>
      <c r="D26" s="3">
        <f t="shared" si="2"/>
        <v>253.64</v>
      </c>
      <c r="E26" s="3">
        <f t="shared" si="2"/>
        <v>308.46000000000004</v>
      </c>
      <c r="F26" s="3">
        <f t="shared" si="2"/>
        <v>751.5</v>
      </c>
      <c r="G26" s="3">
        <f t="shared" ref="G26" si="3">SUM(G24:G25)</f>
        <v>839.28</v>
      </c>
      <c r="H26" s="3">
        <f t="shared" ref="H26:I26" si="4">SUM(H24:H25)</f>
        <v>714.67000000000007</v>
      </c>
      <c r="I26" s="3">
        <f t="shared" si="4"/>
        <v>795.4</v>
      </c>
      <c r="J26" s="37">
        <f>J24+J25</f>
        <v>474.14</v>
      </c>
      <c r="K26" s="37">
        <f>K24+K25</f>
        <v>289.03999999999996</v>
      </c>
    </row>
  </sheetData>
  <mergeCells count="2">
    <mergeCell ref="B13:M13"/>
    <mergeCell ref="B22:M22"/>
  </mergeCells>
  <dataValidations count="1">
    <dataValidation type="list" allowBlank="1" showInputMessage="1" showErrorMessage="1" sqref="J9:J11 J2:J7 L2:L10 N2:N6 P2:P7 R2:R5 T2:T5 V2:V5 X2:X6 Z2:Z4" xr:uid="{F6B259FA-9362-4236-A19B-79ECE62ED1CC}">
      <formula1>$F$1:$F$6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CD3585-E60E-43CD-A948-36F0AF2775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IG+Bal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Abadías León</dc:creator>
  <cp:lastModifiedBy>Daniel Abadías León</cp:lastModifiedBy>
  <dcterms:created xsi:type="dcterms:W3CDTF">2025-03-03T17:42:27Z</dcterms:created>
  <dcterms:modified xsi:type="dcterms:W3CDTF">2025-11-12T21:44:36Z</dcterms:modified>
</cp:coreProperties>
</file>